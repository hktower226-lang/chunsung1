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codeName="현재_통합_문서"/>
  <xr:revisionPtr revIDLastSave="0" documentId="8_{71401E97-0912-DB45-8788-3302FE220BD7}" xr6:coauthVersionLast="47" xr6:coauthVersionMax="47" xr10:uidLastSave="{00000000-0000-0000-0000-000000000000}"/>
  <bookViews>
    <workbookView xWindow="8268" yWindow="492" windowWidth="16908" windowHeight="12156" xr2:uid="{00000000-000D-0000-FFFF-FFFF00000000}"/>
  </bookViews>
  <sheets>
    <sheet name="경기지역본부명단" sheetId="1" r:id="rId1"/>
    <sheet name="채용비율" sheetId="2" r:id="rId2"/>
    <sheet name="목록" sheetId="3" r:id="rId3"/>
  </sheets>
  <definedNames>
    <definedName name="_xlnm._FilterDatabase" localSheetId="0" hidden="1">경기지역본부명단!$A$3:$Y$329</definedName>
    <definedName name="가평군">목록!$J$5:$J$34</definedName>
    <definedName name="강원도">목록!$I$3:$I$34</definedName>
    <definedName name="경기도">목록!$J$3:$J$34</definedName>
    <definedName name="경상남도">목록!$K$3:$K$34</definedName>
    <definedName name="경상북도">목록!$L$3:$L$34</definedName>
    <definedName name="광산구">목록!$M$5:$M$34</definedName>
    <definedName name="광주광역시">목록!$M$3:$M$34</definedName>
    <definedName name="대구광역시">목록!$N$3:$N$34</definedName>
    <definedName name="대전광역시">목록!$O$3:$O$34</definedName>
    <definedName name="동구">목록!$O$5:$O$34</definedName>
    <definedName name="목포시">목록!$U$5:$U$34</definedName>
    <definedName name="부산광역시">목록!$P$3:$P$34</definedName>
    <definedName name="서귀포시">목록!$W$5:$W$34</definedName>
    <definedName name="서울특별시">목록!$Q$3:$Q$34</definedName>
    <definedName name="세종시">목록!$R$3:$R$34</definedName>
    <definedName name="시_도">목록!$H$3:$H$34</definedName>
    <definedName name="울산광역시">목록!$S$3:$S$34</definedName>
    <definedName name="인천광역시">목록!$T$3:$T$34</definedName>
    <definedName name="전라남도">목록!$U$3:$U$34</definedName>
    <definedName name="전라북도">목록!$V$3:$V$34</definedName>
    <definedName name="전주시">목록!$V$5:$V$34</definedName>
    <definedName name="제주도">목록!$W$3:$W$34</definedName>
    <definedName name="조치원읍">목록!$R$5:$R$34</definedName>
    <definedName name="종로구">목록!$Q$5:$Q$34</definedName>
    <definedName name="중구">목록!$N$5:$N$34</definedName>
    <definedName name="창원시">목록!$K$5:$K$34</definedName>
    <definedName name="천안시">목록!$X$5:$X$34</definedName>
    <definedName name="청주시">목록!$Y$5:$Y$34</definedName>
    <definedName name="춘천시">목록!$I$5:$I$34</definedName>
    <definedName name="충청남도">목록!$X$3:$X$34</definedName>
    <definedName name="충청북도">목록!$Y$3:$Y$34</definedName>
    <definedName name="포항시">목록!$L$5:$L$34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2" l="1"/>
  <c r="I37" i="2"/>
  <c r="I47" i="2"/>
  <c r="H37" i="2"/>
  <c r="H47" i="2"/>
  <c r="G37" i="2"/>
  <c r="G47" i="2"/>
  <c r="K37" i="2"/>
  <c r="J37" i="2"/>
  <c r="F37" i="2"/>
  <c r="E37" i="2"/>
  <c r="K32" i="2"/>
  <c r="J32" i="2"/>
  <c r="I32" i="2"/>
  <c r="H32" i="2"/>
  <c r="G32" i="2"/>
  <c r="F32" i="2"/>
  <c r="E32" i="2"/>
  <c r="K28" i="2"/>
  <c r="J28" i="2"/>
  <c r="I28" i="2"/>
  <c r="H28" i="2"/>
  <c r="G28" i="2"/>
  <c r="F28" i="2"/>
  <c r="E28" i="2"/>
  <c r="K12" i="2"/>
  <c r="J12" i="2"/>
  <c r="I12" i="2"/>
  <c r="H12" i="2"/>
  <c r="G12" i="2"/>
  <c r="F12" i="2"/>
  <c r="E12" i="2"/>
  <c r="U329" i="1"/>
  <c r="U328" i="1"/>
  <c r="U327" i="1"/>
  <c r="U326" i="1"/>
  <c r="U325" i="1"/>
  <c r="U324" i="1"/>
  <c r="U323" i="1"/>
  <c r="T323" i="1"/>
  <c r="U322" i="1"/>
  <c r="T322" i="1"/>
  <c r="U321" i="1"/>
  <c r="T321" i="1"/>
  <c r="U320" i="1"/>
  <c r="U319" i="1"/>
  <c r="T319" i="1"/>
  <c r="U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L189" i="1"/>
  <c r="U188" i="1"/>
  <c r="T188" i="1"/>
  <c r="U187" i="1"/>
  <c r="T187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</calcChain>
</file>

<file path=xl/sharedStrings.xml><?xml version="1.0" encoding="utf-8"?>
<sst xmlns="http://schemas.openxmlformats.org/spreadsheetml/2006/main" count="5858" uniqueCount="2414">
  <si>
    <t>한국타워크레인조종사노동조합 조합원 현황</t>
  </si>
  <si>
    <t>No.</t>
  </si>
  <si>
    <t>소속본부</t>
  </si>
  <si>
    <t>성 명</t>
  </si>
  <si>
    <t>소속지부</t>
  </si>
  <si>
    <t>생년월일</t>
  </si>
  <si>
    <t>성별</t>
  </si>
  <si>
    <t>연락처</t>
  </si>
  <si>
    <t>시/도</t>
  </si>
  <si>
    <t>주소</t>
  </si>
  <si>
    <t>타워임대사</t>
  </si>
  <si>
    <t>원청사</t>
  </si>
  <si>
    <t>현　　　　　장　　　　　명</t>
  </si>
  <si>
    <t>현장연락처</t>
  </si>
  <si>
    <t>현장 FAX</t>
  </si>
  <si>
    <t>시/구/군</t>
  </si>
  <si>
    <t>입사일자</t>
  </si>
  <si>
    <t>퇴사일자</t>
  </si>
  <si>
    <t>대기유무</t>
  </si>
  <si>
    <t>대형/소형</t>
  </si>
  <si>
    <t>가입일자</t>
  </si>
  <si>
    <t>비고</t>
  </si>
  <si>
    <t>비고(임대사)</t>
  </si>
  <si>
    <t>비고(원청사)</t>
  </si>
  <si>
    <t>현재 설치 타워수량</t>
  </si>
  <si>
    <t>한국타워크레인
조종사노동조합</t>
  </si>
  <si>
    <t>민주노총 건설노조
타워크레인분과</t>
  </si>
  <si>
    <t>건설노조(한노제명)
타워크레인분과</t>
  </si>
  <si>
    <t>비노조 및 직원</t>
  </si>
  <si>
    <t>제1노조</t>
  </si>
  <si>
    <t>노조/비노조</t>
  </si>
  <si>
    <t>평균임금</t>
  </si>
  <si>
    <t>미정</t>
  </si>
  <si>
    <t>경기지역본부</t>
  </si>
  <si>
    <t>간호영</t>
  </si>
  <si>
    <t>중부지부</t>
  </si>
  <si>
    <t>남</t>
  </si>
  <si>
    <t>010-7380-6710</t>
  </si>
  <si>
    <t>경기도</t>
  </si>
  <si>
    <t>수원시 팔달구 화양로38번길 136-4 칠성아파트 103호</t>
  </si>
  <si>
    <t>벽산중기산업주식회사</t>
  </si>
  <si>
    <t>에이치엘디앤아이한라(주)</t>
  </si>
  <si>
    <t>서수원에피트센트럴마크M2블록</t>
  </si>
  <si>
    <t>070-7701-3434</t>
  </si>
  <si>
    <t>031-407-3435</t>
  </si>
  <si>
    <t>수원시</t>
  </si>
  <si>
    <t>권선구 당수동 592번지</t>
  </si>
  <si>
    <t>4</t>
  </si>
  <si>
    <t>1</t>
  </si>
  <si>
    <t>2</t>
  </si>
  <si>
    <t>0</t>
  </si>
  <si>
    <t>강경희</t>
  </si>
  <si>
    <t>여</t>
  </si>
  <si>
    <t>010-6775-0361</t>
  </si>
  <si>
    <t>용인시처인구 남사읍 이편한세상504동102호</t>
  </si>
  <si>
    <t>강길완</t>
  </si>
  <si>
    <t>북서지부</t>
  </si>
  <si>
    <t>010-2706-6904</t>
  </si>
  <si>
    <t>안양시 만안구 문예로 7번지 더포레스트 102호</t>
  </si>
  <si>
    <t>신우개발(주)</t>
  </si>
  <si>
    <t>삼성이앤에이(주)</t>
  </si>
  <si>
    <t>평택 삼성 반도체 P5복합동</t>
  </si>
  <si>
    <t>02-2137-3000</t>
  </si>
  <si>
    <t>02-2137-3012</t>
  </si>
  <si>
    <t>평택시</t>
  </si>
  <si>
    <t>고덕동 1696</t>
  </si>
  <si>
    <t>강대호</t>
  </si>
  <si>
    <t>동부지부</t>
  </si>
  <si>
    <t>010-4403-9864</t>
  </si>
  <si>
    <t>광주시 광주대로 142 중흥 S클래스 파크뷰 106동 2101호</t>
  </si>
  <si>
    <t>3</t>
  </si>
  <si>
    <t>강동훈</t>
  </si>
  <si>
    <t>남부지부</t>
  </si>
  <si>
    <t>010-8918-5497</t>
  </si>
  <si>
    <t>화성시 동탄순환대로10길88 3617동1303호</t>
  </si>
  <si>
    <t>(주)국영타워랜드</t>
  </si>
  <si>
    <t>(주)대우건설</t>
  </si>
  <si>
    <t>동탄포레파크자연앤푸르지오</t>
  </si>
  <si>
    <t>031-372-6126</t>
  </si>
  <si>
    <t>jaehong.park@deawooenc.com</t>
  </si>
  <si>
    <t>화성시</t>
  </si>
  <si>
    <t>산척동 749번지</t>
  </si>
  <si>
    <t>6</t>
  </si>
  <si>
    <t>850</t>
  </si>
  <si>
    <t>강성두</t>
  </si>
  <si>
    <t>010-8887-8771</t>
  </si>
  <si>
    <t>수원시 영통구 덕영대로1410 112동1303호</t>
  </si>
  <si>
    <t>(주)동양타워엔지니어링</t>
  </si>
  <si>
    <t>롯데건설(주)</t>
  </si>
  <si>
    <t>시흥롯데캐슬시그니처1블록</t>
  </si>
  <si>
    <t>031-435-9477</t>
  </si>
  <si>
    <t>031-435-9679</t>
  </si>
  <si>
    <t>시흥시</t>
  </si>
  <si>
    <t>은행동 248-30번지</t>
  </si>
  <si>
    <t>5</t>
  </si>
  <si>
    <t>강성완</t>
  </si>
  <si>
    <t>010-5811-0403</t>
  </si>
  <si>
    <t>화성시 동탄순환대로8길27 e편한세상 3148동302호</t>
  </si>
  <si>
    <t>강승한</t>
  </si>
  <si>
    <t>용인지부</t>
  </si>
  <si>
    <t>010-4011-2588</t>
  </si>
  <si>
    <t>파주시 조리읍 내산길 42-22 C동 303호</t>
  </si>
  <si>
    <t>소형(비고에 작성)</t>
  </si>
  <si>
    <t>인계동 1115-1번지 오피스텔(청년형)</t>
  </si>
  <si>
    <t>031-237-2267</t>
  </si>
  <si>
    <t>031-232-2267</t>
  </si>
  <si>
    <t>팔달구 인계동 1115-1</t>
  </si>
  <si>
    <t>(주)한국티씨</t>
  </si>
  <si>
    <t>(주)하이안종합건설</t>
  </si>
  <si>
    <t>강영남</t>
  </si>
  <si>
    <t>010-7558-0190</t>
  </si>
  <si>
    <t>수원시 권선구 세지로 66길 7-15 2층</t>
  </si>
  <si>
    <t>삼성물산(주)</t>
  </si>
  <si>
    <t>평택삼성 P5 FAB동 1차구간</t>
  </si>
  <si>
    <t>강의석</t>
  </si>
  <si>
    <t>010-6405-9909</t>
  </si>
  <si>
    <t>화성시 금반2길24-14</t>
  </si>
  <si>
    <t>600</t>
  </si>
  <si>
    <t>7</t>
  </si>
  <si>
    <t>강태규</t>
  </si>
  <si>
    <t>010-9930-6212</t>
  </si>
  <si>
    <t>수원시 세류동 458-9 205호</t>
  </si>
  <si>
    <t>500</t>
  </si>
  <si>
    <t>8</t>
  </si>
  <si>
    <t>고정현</t>
  </si>
  <si>
    <t>010-3838-9574</t>
  </si>
  <si>
    <t>화성시 동탄구 동탄순환대로 17길31 2414동 1203호</t>
  </si>
  <si>
    <t>뉴월드타워 주식회사</t>
  </si>
  <si>
    <t>우미건설(주)</t>
  </si>
  <si>
    <t>오산세교우미린레이크시티</t>
  </si>
  <si>
    <t>031-5198-4313</t>
  </si>
  <si>
    <t>jdk@wm.co.kr</t>
  </si>
  <si>
    <t>오산시</t>
  </si>
  <si>
    <t>서동 50번지</t>
  </si>
  <si>
    <t>고종민</t>
  </si>
  <si>
    <t>010-8890-3342</t>
  </si>
  <si>
    <t>시흥시 거모동 유호아파트 102동2002호</t>
  </si>
  <si>
    <t>(주)신화중공업</t>
  </si>
  <si>
    <t>한신공영(주)</t>
  </si>
  <si>
    <t>시흥하중지구A4블록신혼희망타운</t>
  </si>
  <si>
    <t>031-311-1216</t>
  </si>
  <si>
    <t>031-311-1217</t>
  </si>
  <si>
    <t>하중동 389-1번지</t>
  </si>
  <si>
    <t>공정호</t>
  </si>
  <si>
    <t>남서지부</t>
  </si>
  <si>
    <t>010-5452-0737</t>
  </si>
  <si>
    <t>안산시 상록구 해양4로 31 그랑시티자이 102동 3801호</t>
  </si>
  <si>
    <t>(주)타워랜드</t>
  </si>
  <si>
    <t>지에스건설(주)</t>
  </si>
  <si>
    <t>평촌자이퍼스니티</t>
  </si>
  <si>
    <t>02-2154-4872</t>
  </si>
  <si>
    <t>010-9358-3117</t>
  </si>
  <si>
    <t>안양시</t>
  </si>
  <si>
    <t>동안구 비산3동 354-10번지</t>
  </si>
  <si>
    <t>9</t>
  </si>
  <si>
    <t>830</t>
  </si>
  <si>
    <t>곽상채</t>
  </si>
  <si>
    <t>010-7734-5344</t>
  </si>
  <si>
    <t>수원시 장안구 파장로9 더원팰리스272-101</t>
  </si>
  <si>
    <t>(주)우성건설기계</t>
  </si>
  <si>
    <t>(주)서희건설</t>
  </si>
  <si>
    <t>이천서희스타힐스SKY</t>
  </si>
  <si>
    <t>070-5208-8206</t>
  </si>
  <si>
    <t>070-5208-8220</t>
  </si>
  <si>
    <t>이천시</t>
  </si>
  <si>
    <t>안흥동 279-1</t>
  </si>
  <si>
    <t>820</t>
  </si>
  <si>
    <t>10</t>
  </si>
  <si>
    <t>곽윤화</t>
  </si>
  <si>
    <t>010-4963-6430</t>
  </si>
  <si>
    <t>화성시 동탄역로196 102동4303호</t>
  </si>
  <si>
    <t>평택삼성 P4 복합동</t>
  </si>
  <si>
    <t>고덕동 1695</t>
  </si>
  <si>
    <t>11</t>
  </si>
  <si>
    <t>구본화</t>
  </si>
  <si>
    <t>010-3905-8910</t>
  </si>
  <si>
    <t>용인시 기흥구 동백죽전대로527번길80 어정롯데에코1단지110동201호</t>
  </si>
  <si>
    <t>12</t>
  </si>
  <si>
    <t>구상모</t>
  </si>
  <si>
    <t>북부지부</t>
  </si>
  <si>
    <t>010-2023-2001</t>
  </si>
  <si>
    <t>수원시 장안구 창훈로 30 서광교파크스위첸 102동 704호</t>
  </si>
  <si>
    <t>01:01:00</t>
  </si>
  <si>
    <t>노조</t>
  </si>
  <si>
    <t>800</t>
  </si>
  <si>
    <t>13</t>
  </si>
  <si>
    <t>구윤상</t>
  </si>
  <si>
    <t>010-6490-9791</t>
  </si>
  <si>
    <t>수원시 영통구하동 참누리레이크 아파트</t>
  </si>
  <si>
    <t>평택고덕우미린프레스티지</t>
  </si>
  <si>
    <t>010-3727-9270</t>
  </si>
  <si>
    <t>hongbk@wm.co.kr</t>
  </si>
  <si>
    <t>고덕국제화계획지구 Abc-36BL</t>
  </si>
  <si>
    <t>550</t>
  </si>
  <si>
    <t>14</t>
  </si>
  <si>
    <t>권강구</t>
  </si>
  <si>
    <t>010-9154-3704</t>
  </si>
  <si>
    <t>화성시 신리천로3길59 아테라파밀리에 3705동1203호</t>
  </si>
  <si>
    <t>(주)썬타워</t>
  </si>
  <si>
    <t>롯데캐슬위너스포레</t>
  </si>
  <si>
    <t>031-630-9122</t>
  </si>
  <si>
    <t>031-630-9199</t>
  </si>
  <si>
    <t>양산동 91-2</t>
  </si>
  <si>
    <t>15</t>
  </si>
  <si>
    <t>권희복</t>
  </si>
  <si>
    <t>010-3784-0493</t>
  </si>
  <si>
    <t>여주시 북내면 여양2로 263-12</t>
  </si>
  <si>
    <t>16</t>
  </si>
  <si>
    <t>김건희</t>
  </si>
  <si>
    <t>010-9261-6205</t>
  </si>
  <si>
    <t>성남시 수정구 공원로 360 103-908호</t>
  </si>
  <si>
    <t>(주)한진</t>
  </si>
  <si>
    <t>산성역헤리스톤</t>
  </si>
  <si>
    <t>031-731-8247</t>
  </si>
  <si>
    <t>031-731-8250</t>
  </si>
  <si>
    <t>성남시</t>
  </si>
  <si>
    <t>수정구 산성동 1336</t>
  </si>
  <si>
    <t>17</t>
  </si>
  <si>
    <t>김경숙</t>
  </si>
  <si>
    <t>010-2029-9986</t>
  </si>
  <si>
    <t>수원시 영통구 덕영대로1410 116동2604호</t>
  </si>
  <si>
    <t>김기정</t>
  </si>
  <si>
    <t>010-8607-1019</t>
  </si>
  <si>
    <t>평택시 통복길5 경남아너스빌 101동 704호</t>
  </si>
  <si>
    <t>(주)동원개발</t>
  </si>
  <si>
    <t>브레인시티비스타동원</t>
  </si>
  <si>
    <t>031-655-8413</t>
  </si>
  <si>
    <t>031-655-8414</t>
  </si>
  <si>
    <t>장안동 2번지</t>
  </si>
  <si>
    <t>김길진</t>
  </si>
  <si>
    <t>010-3058-8055</t>
  </si>
  <si>
    <t>화성시 봉담읍 봉화길122 봉화마을 602동 602호</t>
  </si>
  <si>
    <t>김도은</t>
  </si>
  <si>
    <t>010-2446-8675</t>
  </si>
  <si>
    <t>수원시 권선구 서호동로14번길 52-21 서호파크 A동 206호</t>
  </si>
  <si>
    <t>주식회사 화성건기</t>
  </si>
  <si>
    <t>계룡건설산업(주)</t>
  </si>
  <si>
    <t>엘리프한신더휴수원C3블록</t>
  </si>
  <si>
    <t>070-4470-8394</t>
  </si>
  <si>
    <t>070-4470-8780</t>
  </si>
  <si>
    <t>권선구 금곡동 당수1지구C3블록</t>
  </si>
  <si>
    <t>18</t>
  </si>
  <si>
    <t>김동우</t>
  </si>
  <si>
    <t>010-4088-7671</t>
  </si>
  <si>
    <t>화성시 병점구 경기대로 1011 써밋프라움 B동 1818호</t>
  </si>
  <si>
    <t>평택고덕A-56BL</t>
  </si>
  <si>
    <t>031-663-4034</t>
  </si>
  <si>
    <t>고덕국제화계획지구 고덕동 2690-1번지</t>
  </si>
  <si>
    <t>19</t>
  </si>
  <si>
    <t>김동욱</t>
  </si>
  <si>
    <t>010-7102-0233</t>
  </si>
  <si>
    <t>수원시 팔달로165번길25 동서샤인빌D동401호</t>
  </si>
  <si>
    <t>(주)성광엔지니어링</t>
  </si>
  <si>
    <t>현대엔지니어링(주)</t>
  </si>
  <si>
    <t>현대테라타워세마역</t>
  </si>
  <si>
    <t>010-4534-0901</t>
  </si>
  <si>
    <t>magicgag79@hec.co.kr</t>
  </si>
  <si>
    <t>세교동 592-9번지</t>
  </si>
  <si>
    <t>민노</t>
  </si>
  <si>
    <t>20</t>
  </si>
  <si>
    <t>김부동</t>
  </si>
  <si>
    <t>010-6266-8045</t>
  </si>
  <si>
    <t>이천시 부발읍 무촌로108 어울림104동401호</t>
  </si>
  <si>
    <t>주식회사 비엠케이</t>
  </si>
  <si>
    <t>경남기업(주)(SM)</t>
  </si>
  <si>
    <t>광주태전경남아너스빌리미티드</t>
  </si>
  <si>
    <t>031-798-9735</t>
  </si>
  <si>
    <t>02-6712-5491</t>
  </si>
  <si>
    <t>광주시</t>
  </si>
  <si>
    <t>장지동 695-14번지</t>
  </si>
  <si>
    <t>21</t>
  </si>
  <si>
    <t>김삼성</t>
  </si>
  <si>
    <t>010-3008-0357</t>
  </si>
  <si>
    <t>화성시 봉담읍 동화길 82 동일하이빌 101동 2303호</t>
  </si>
  <si>
    <t>580</t>
  </si>
  <si>
    <t>22</t>
  </si>
  <si>
    <t>김상궁</t>
  </si>
  <si>
    <t>010-7283-7951</t>
  </si>
  <si>
    <t>인천광역시</t>
  </si>
  <si>
    <t>미추홀구 소성로332번길 17-1 301호</t>
  </si>
  <si>
    <t>23</t>
  </si>
  <si>
    <t>김상현</t>
  </si>
  <si>
    <t>010-5828-4888</t>
  </si>
  <si>
    <t>평택시 비전4로175</t>
  </si>
  <si>
    <t>김상훈</t>
  </si>
  <si>
    <t>서부지부</t>
  </si>
  <si>
    <t>010-9259-2305</t>
  </si>
  <si>
    <t>안산시 상록구 월피로1길18, 301호</t>
  </si>
  <si>
    <t>김성점</t>
  </si>
  <si>
    <t>010-5442-0418</t>
  </si>
  <si>
    <t>용인시 기흥구 보라동 한보라1로91 602동 203호</t>
  </si>
  <si>
    <t>코오롱글로벌(주)</t>
  </si>
  <si>
    <t>평택 삼성전자 P5 정수장 3기 신축공사</t>
  </si>
  <si>
    <t>010-5622-1364</t>
  </si>
  <si>
    <t>dojeon4636@kolon.com</t>
  </si>
  <si>
    <t>고덕동 1696-1</t>
  </si>
  <si>
    <t>김성종</t>
  </si>
  <si>
    <t>010-3725-6788</t>
  </si>
  <si>
    <t>서울특별시</t>
  </si>
  <si>
    <t>중랑구 면목로 78길 8-48</t>
  </si>
  <si>
    <t>경안종합건설 신축공사</t>
  </si>
  <si>
    <t>동안구 호계동 986-1</t>
  </si>
  <si>
    <t>슈에코</t>
  </si>
  <si>
    <t>경안종합건설</t>
  </si>
  <si>
    <t>김성진</t>
  </si>
  <si>
    <t>010-9056-0457</t>
  </si>
  <si>
    <t>수원시 권선구 매곡로100 102동1604호</t>
  </si>
  <si>
    <t>주식회사 우정타워</t>
  </si>
  <si>
    <t>대방건설(주)</t>
  </si>
  <si>
    <t>북수원이목지구디에트르더리체2차</t>
  </si>
  <si>
    <t>031-271-9903</t>
  </si>
  <si>
    <t>031-271-9904</t>
  </si>
  <si>
    <t>장안구 이목동 910</t>
  </si>
  <si>
    <t>24</t>
  </si>
  <si>
    <t>김성한</t>
  </si>
  <si>
    <t>010-2264-2033</t>
  </si>
  <si>
    <t>평택시 동삭동 상서재로55 센트럴자이3단지 315동1303호</t>
  </si>
  <si>
    <t>25</t>
  </si>
  <si>
    <t>김성호</t>
  </si>
  <si>
    <t>010-5415-1462</t>
  </si>
  <si>
    <t>성남시 중원구 광명로 37 렉스타운 1402호</t>
  </si>
  <si>
    <t>현대건설(주)</t>
  </si>
  <si>
    <t>힐스테이트평택역센트럴시티</t>
  </si>
  <si>
    <t>031-575-6925</t>
  </si>
  <si>
    <t>031-692-7759</t>
  </si>
  <si>
    <t>합정동 835번지</t>
  </si>
  <si>
    <t>26</t>
  </si>
  <si>
    <t>김수민</t>
  </si>
  <si>
    <t>010-2493-7963</t>
  </si>
  <si>
    <t>이천시 아리역로 38번길 50 한양수자인 509동 702호</t>
  </si>
  <si>
    <t>김승섭</t>
  </si>
  <si>
    <t>010-4344-4904</t>
  </si>
  <si>
    <t>안양시 동안구 귀인로80번길193 307동706호</t>
  </si>
  <si>
    <t>김시삼</t>
  </si>
  <si>
    <t>010-7556-6759</t>
  </si>
  <si>
    <t>오산시 현충로 107-30</t>
  </si>
  <si>
    <t>700</t>
  </si>
  <si>
    <t>27</t>
  </si>
  <si>
    <t>김안섭</t>
  </si>
  <si>
    <t>010-5501-6916</t>
  </si>
  <si>
    <t>화성시 봉담읍 와우리 신명아파트 104동 1301호</t>
  </si>
  <si>
    <t>28</t>
  </si>
  <si>
    <t>김영식</t>
  </si>
  <si>
    <t>010-6614-8624</t>
  </si>
  <si>
    <t>평택시 현덕면 현덕로 1251, 102동 603호</t>
  </si>
  <si>
    <t>김영훈</t>
  </si>
  <si>
    <t>010-2318-2532</t>
  </si>
  <si>
    <t>대구광역시</t>
  </si>
  <si>
    <t>달성군 구라리 1734-1 청구청산맨션 101동 1008호</t>
  </si>
  <si>
    <t>29</t>
  </si>
  <si>
    <t>김요학</t>
  </si>
  <si>
    <t>010-5305-2059</t>
  </si>
  <si>
    <t>성남시 사기막골로 150번길 10 산성아파트101동2002호</t>
  </si>
  <si>
    <t>(주)포스코이앤씨</t>
  </si>
  <si>
    <t>경기도 여주시 홍문동 홍문2지구 공동주택 신축공사</t>
  </si>
  <si>
    <t>010-9670-3164</t>
  </si>
  <si>
    <t>encA18274@poscoenc.com</t>
  </si>
  <si>
    <t>여주시</t>
  </si>
  <si>
    <t>홍문동 332-2번지 일원</t>
  </si>
  <si>
    <t>김용우</t>
  </si>
  <si>
    <t>010-2542-2807</t>
  </si>
  <si>
    <t>화성시 동탄순환대로8길14 호수공원 아이파크 3121동2104호</t>
  </si>
  <si>
    <t>검단신도시롯데캐슬넥스티엘Ⅲ</t>
  </si>
  <si>
    <t>032-569-8889</t>
  </si>
  <si>
    <t>032-569-8890</t>
  </si>
  <si>
    <t>서구</t>
  </si>
  <si>
    <t>원당동 1028</t>
  </si>
  <si>
    <t>380</t>
  </si>
  <si>
    <t>30</t>
  </si>
  <si>
    <t>김우선</t>
  </si>
  <si>
    <t>010-8922-7671</t>
  </si>
  <si>
    <t>화성시 동탄역로150 101동 1902호</t>
  </si>
  <si>
    <t>570</t>
  </si>
  <si>
    <t>31</t>
  </si>
  <si>
    <t>김원식</t>
  </si>
  <si>
    <t>010-9278-6824</t>
  </si>
  <si>
    <t>안성시 보개면 절가리길 51-6</t>
  </si>
  <si>
    <t>김윤미</t>
  </si>
  <si>
    <t>010-9954-9664</t>
  </si>
  <si>
    <t>화성시 봉남읍 동남메리트 101동 607호</t>
  </si>
  <si>
    <t>김인영</t>
  </si>
  <si>
    <t>010-9113-5435</t>
  </si>
  <si>
    <t>화성시 동탄대로10길 20 더샵 레이크에듀타운2508동 204호</t>
  </si>
  <si>
    <t>임단협</t>
  </si>
  <si>
    <t>32</t>
  </si>
  <si>
    <t>김재경</t>
  </si>
  <si>
    <t>010-4809-3474</t>
  </si>
  <si>
    <t>오산시 누읍로 17 한라그린타운아파트 101동1406호</t>
  </si>
  <si>
    <t>김재석</t>
  </si>
  <si>
    <t>010-7134-1897</t>
  </si>
  <si>
    <t>화성시 병점구 병점동로 23 구봉마을 우남퍼스트빌1차 104동 101호</t>
  </si>
  <si>
    <t>33</t>
  </si>
  <si>
    <t>김재선</t>
  </si>
  <si>
    <t>010-8726-0765</t>
  </si>
  <si>
    <t>평택시 추담로 58-78 코오롱하늘채 1025동 1403호</t>
  </si>
  <si>
    <t>34</t>
  </si>
  <si>
    <t>김재영</t>
  </si>
  <si>
    <t>010-7373-5679</t>
  </si>
  <si>
    <t>수원시 영통구 봉영로1517번길27 914동1403호</t>
  </si>
  <si>
    <t>G-town 개발사업</t>
  </si>
  <si>
    <t>02-6390-6035</t>
  </si>
  <si>
    <t>02-6390-6037</t>
  </si>
  <si>
    <t>과천시</t>
  </si>
  <si>
    <t>갈현동 433번지</t>
  </si>
  <si>
    <t>35</t>
  </si>
  <si>
    <t>김재웅</t>
  </si>
  <si>
    <t>010-8939-5680</t>
  </si>
  <si>
    <t>화성시 봉담읍 수영로161 302동 1302호</t>
  </si>
  <si>
    <t>오투기계산업(주)</t>
  </si>
  <si>
    <t>에이치디씨현대산업개발(주)</t>
  </si>
  <si>
    <t>안양역센트럴아이파크수자인</t>
  </si>
  <si>
    <t>031-449-9748</t>
  </si>
  <si>
    <t>031-444-4656</t>
  </si>
  <si>
    <t>만안구 안양2동 841-5번지</t>
  </si>
  <si>
    <t>김정섭</t>
  </si>
  <si>
    <t>010-8986-2014</t>
  </si>
  <si>
    <t>의왕시 오전로 193 신안 아파트 3동 1508호</t>
  </si>
  <si>
    <t>김정헌</t>
  </si>
  <si>
    <t>010-8555-2323</t>
  </si>
  <si>
    <t>수원시 영통구 매영로 310번길 12 534동 1602호</t>
  </si>
  <si>
    <t>(주)한백산업</t>
  </si>
  <si>
    <t>디엘이앤씨(주)</t>
  </si>
  <si>
    <t>안양에버포레자연&amp;e편한세상</t>
  </si>
  <si>
    <t>010-4751-4253</t>
  </si>
  <si>
    <t>031-476-6273</t>
  </si>
  <si>
    <t>관양동 521번지</t>
  </si>
  <si>
    <t>36</t>
  </si>
  <si>
    <t>김정현</t>
  </si>
  <si>
    <t>010-8488-3679</t>
  </si>
  <si>
    <t>용인시 처인구 남사면 한숲로137 e편한세상 203동 1102호</t>
  </si>
  <si>
    <t>이천 중리 명성프라자</t>
  </si>
  <si>
    <t>중리동 524-1</t>
  </si>
  <si>
    <t>에스엠타워</t>
  </si>
  <si>
    <t>소망건설</t>
  </si>
  <si>
    <t>김정호</t>
  </si>
  <si>
    <t>010-8271-6569</t>
  </si>
  <si>
    <t>화성시 동탄산척로2길56 금강2차 1940동 1602호</t>
  </si>
  <si>
    <t>김종준</t>
  </si>
  <si>
    <t>010-8887-5153</t>
  </si>
  <si>
    <t>화성시 병점노을로31 110동2104호(병점역아아파크캐슬)</t>
  </si>
  <si>
    <t>김주찬</t>
  </si>
  <si>
    <t>010-3763-8574</t>
  </si>
  <si>
    <t>성남시 중원구 성남대로1133 820호</t>
  </si>
  <si>
    <t>37</t>
  </si>
  <si>
    <t>김준형</t>
  </si>
  <si>
    <t>010-4573-5075</t>
  </si>
  <si>
    <t>용인시 기흥구 보라동620</t>
  </si>
  <si>
    <t>김중하</t>
  </si>
  <si>
    <t>010-6420-1577</t>
  </si>
  <si>
    <t>용인시 처인구 금어로 46 둔전역힐스테이트 102동 504호</t>
  </si>
  <si>
    <t>김진민</t>
  </si>
  <si>
    <t>010-9011-7681</t>
  </si>
  <si>
    <t>하남시 하남대로887번길 25 102동 1004호</t>
  </si>
  <si>
    <t>김진호</t>
  </si>
  <si>
    <t>010-9325-1545</t>
  </si>
  <si>
    <t>용인시 처인구 고림로 162번길 15 힐스테이트 1단지 106동 905호</t>
  </si>
  <si>
    <t>38</t>
  </si>
  <si>
    <t>김창규</t>
  </si>
  <si>
    <t>010-3001-1452</t>
  </si>
  <si>
    <t>오산시 현충로 72번길41번지 신현대아파트 101동 808호</t>
  </si>
  <si>
    <t>도평건기(주)</t>
  </si>
  <si>
    <t>39</t>
  </si>
  <si>
    <t>김철</t>
  </si>
  <si>
    <t>010-8344-8789</t>
  </si>
  <si>
    <t>화성시 봉담읍 상리3길87그랑드비체5단지501동2304호</t>
  </si>
  <si>
    <t>장현1초 및 학교복합시설</t>
  </si>
  <si>
    <t>031-345-1971</t>
  </si>
  <si>
    <t>031-349-6462</t>
  </si>
  <si>
    <t>장현동 321번지</t>
  </si>
  <si>
    <t>(주)디어스 E&amp;C</t>
  </si>
  <si>
    <t>김태은</t>
  </si>
  <si>
    <t>010-9535-9027</t>
  </si>
  <si>
    <t>과천시 부림동 14-9</t>
  </si>
  <si>
    <t>010-9266-2309</t>
  </si>
  <si>
    <t>40</t>
  </si>
  <si>
    <t>김태준</t>
  </si>
  <si>
    <t>010-3895-3794</t>
  </si>
  <si>
    <t>화성시 동탄순환대로 19길21 동원로얄듀크 2002동 1801호</t>
  </si>
  <si>
    <t>41</t>
  </si>
  <si>
    <t>김태호</t>
  </si>
  <si>
    <t>010-2221-9777</t>
  </si>
  <si>
    <t>용인시 처인구 경안천로368 인정프린스3001동 1211호</t>
  </si>
  <si>
    <t>주식회사 가람타워</t>
  </si>
  <si>
    <t>(주)보미건설</t>
  </si>
  <si>
    <t>더샘병원</t>
  </si>
  <si>
    <t>02-2657-4400</t>
  </si>
  <si>
    <t>02-2657-4488</t>
  </si>
  <si>
    <t>만안구 안양동 456-2</t>
  </si>
  <si>
    <t>김평하</t>
  </si>
  <si>
    <t>010-8319-1587</t>
  </si>
  <si>
    <t>용인시 처인구 역북동 낙은로59</t>
  </si>
  <si>
    <t>김필기</t>
  </si>
  <si>
    <t>010-6776-7519</t>
  </si>
  <si>
    <t>수원시 영통구 덕영뎌로1462-14 힐스테이트 121동1602호</t>
  </si>
  <si>
    <t>(주)규람타워렌탈</t>
  </si>
  <si>
    <t>양우종합건설(주)</t>
  </si>
  <si>
    <t>의왕청계2A-1</t>
  </si>
  <si>
    <t>010-8549-4283</t>
  </si>
  <si>
    <t>dwdwe@ywconst.com</t>
  </si>
  <si>
    <t>의왕시</t>
  </si>
  <si>
    <t>포일동 168-17</t>
  </si>
  <si>
    <t>42</t>
  </si>
  <si>
    <t>김형삼</t>
  </si>
  <si>
    <t>010-2875-5557</t>
  </si>
  <si>
    <t>수원시 귄선구 호매실동 호매실마을13단지 1307동301호</t>
  </si>
  <si>
    <t>43</t>
  </si>
  <si>
    <t>김호찬</t>
  </si>
  <si>
    <t>010-9071-5160</t>
  </si>
  <si>
    <t>성남시 수정구 위례순환로17 31단지 3113동1506호</t>
  </si>
  <si>
    <t>에스케이에코플랜트(주)</t>
  </si>
  <si>
    <t>용인 SK하이닉스 FAB동</t>
  </si>
  <si>
    <t>010-6381-9799</t>
  </si>
  <si>
    <t>용인시</t>
  </si>
  <si>
    <t>처인구 원삼면 보개원삼로 1639</t>
  </si>
  <si>
    <t>44</t>
  </si>
  <si>
    <t>김효진</t>
  </si>
  <si>
    <t>010-9023-9119</t>
  </si>
  <si>
    <t>평택시 용죽1로 83 이편한세상 비전센타포레 1002동 2204호</t>
  </si>
  <si>
    <t>주식회사건설타워</t>
  </si>
  <si>
    <t>평택화양서희스타힐스센트럴파크2차</t>
  </si>
  <si>
    <t>070-5066-0028</t>
  </si>
  <si>
    <t>070-5066-0037</t>
  </si>
  <si>
    <t>안중읍 현화리 773-2</t>
  </si>
  <si>
    <t>420</t>
  </si>
  <si>
    <t>45</t>
  </si>
  <si>
    <t>남성우</t>
  </si>
  <si>
    <t>경기본부</t>
  </si>
  <si>
    <t>010-6320-5122</t>
  </si>
  <si>
    <t>수원시 권선구 호매실로 218번길22 1404동 901호</t>
  </si>
  <si>
    <t>남의송</t>
  </si>
  <si>
    <t>010-8631-5165</t>
  </si>
  <si>
    <t>오산시 세마문학로50 이편한세상 108동 1301호</t>
  </si>
  <si>
    <t>노남수</t>
  </si>
  <si>
    <t>010-6346-8251</t>
  </si>
  <si>
    <t>안산시상록구 사동 항가울로28 101동 2004호</t>
  </si>
  <si>
    <t>노혜영</t>
  </si>
  <si>
    <t>010-4899-8847</t>
  </si>
  <si>
    <t>수원시 팔달구 우만동 우만주공4단지402동1204호</t>
  </si>
  <si>
    <t>(주)야후건기</t>
  </si>
  <si>
    <t>두산건설(주)</t>
  </si>
  <si>
    <t>두산위브더센트럴수원</t>
  </si>
  <si>
    <t>031-207-6601</t>
  </si>
  <si>
    <t>031-207-6603</t>
  </si>
  <si>
    <t>장안구 영화동 93-6번지</t>
  </si>
  <si>
    <t>도형래</t>
  </si>
  <si>
    <t>010-5305-2204</t>
  </si>
  <si>
    <t>안양시 만안구 능곡로 36번길 17, 203호(안양동, 청호아파트)</t>
  </si>
  <si>
    <t>문기승</t>
  </si>
  <si>
    <t>010-8385-4341</t>
  </si>
  <si>
    <t>안성시 공도읍 서동대로4060-5번지 효성해링턴 203동 2903호</t>
  </si>
  <si>
    <t>평택삼성 P4 대기방지</t>
  </si>
  <si>
    <t>46</t>
  </si>
  <si>
    <t>문민곤</t>
  </si>
  <si>
    <t>010-2245-1500</t>
  </si>
  <si>
    <t>화성시 동탄역 삼정그린코아 101동 3701호</t>
  </si>
  <si>
    <t>(주)그린시티건설</t>
  </si>
  <si>
    <t>의왕청계역시티프라디움하모니아</t>
  </si>
  <si>
    <t>010-4211-1509</t>
  </si>
  <si>
    <t>jinuk0121@cityenc.com</t>
  </si>
  <si>
    <t>의왕청계2 공공주택지구 M-1블럭(포일동 129)</t>
  </si>
  <si>
    <t>문성식</t>
  </si>
  <si>
    <t>010-4377-7555</t>
  </si>
  <si>
    <t>부천시 원미구 상1동 한아름아파트 1520동 602호</t>
  </si>
  <si>
    <t>호현센트럴아이파크</t>
  </si>
  <si>
    <t>070-4222-3203</t>
  </si>
  <si>
    <t>031-443-3203</t>
  </si>
  <si>
    <t>만안구 박달동 111-1번지</t>
  </si>
  <si>
    <t>47</t>
  </si>
  <si>
    <t>문주식</t>
  </si>
  <si>
    <t>010-7628-1779</t>
  </si>
  <si>
    <t>안양시 동안구 관양동 1387-13 207호</t>
  </si>
  <si>
    <t>thkim05@gsenc.com</t>
  </si>
  <si>
    <t>680</t>
  </si>
  <si>
    <t>48</t>
  </si>
  <si>
    <t>문준호</t>
  </si>
  <si>
    <t>010-5474-8404</t>
  </si>
  <si>
    <t>오산시 수청로 31 우미이노스빌 105동 1101호</t>
  </si>
  <si>
    <t>문진기</t>
  </si>
  <si>
    <t>010-8706-7214</t>
  </si>
  <si>
    <t>오산시 수청로31 103동 1703호</t>
  </si>
  <si>
    <t>평택삼성 p5복합동 (야간)</t>
  </si>
  <si>
    <t>문형근</t>
  </si>
  <si>
    <t>010-2696-5517</t>
  </si>
  <si>
    <t>화성시 봉담읍 장등2길 16-29번지 302호</t>
  </si>
  <si>
    <t>(주)타워링</t>
  </si>
  <si>
    <t>배곧서울대학교병원</t>
  </si>
  <si>
    <t>031-319-8411</t>
  </si>
  <si>
    <t>031-319-8412</t>
  </si>
  <si>
    <t>서울대학로 200 (배곧동)</t>
  </si>
  <si>
    <t>민주식</t>
  </si>
  <si>
    <t>010-4870-9982</t>
  </si>
  <si>
    <t>오산시 내삼미로65 105동 802호</t>
  </si>
  <si>
    <t>기흥 NRD K2</t>
  </si>
  <si>
    <t>기흥구 농서동 산 24</t>
  </si>
  <si>
    <t>49</t>
  </si>
  <si>
    <t>박관규</t>
  </si>
  <si>
    <t>010-5419-6228</t>
  </si>
  <si>
    <t>화성시 동탄대로 4길123 아이파크 3425동 1402호</t>
  </si>
  <si>
    <t>(주)예림타워</t>
  </si>
  <si>
    <t>쌍용건설(주)</t>
  </si>
  <si>
    <t>더플래티넘파인애비뉴</t>
  </si>
  <si>
    <t>031-686-6612</t>
  </si>
  <si>
    <t>031-686-6615</t>
  </si>
  <si>
    <t>팽성읍 송화리 123번지</t>
  </si>
  <si>
    <t>박규원</t>
  </si>
  <si>
    <t>010-3589-7970</t>
  </si>
  <si>
    <t>오산시 은계동 16번지 대성301호</t>
  </si>
  <si>
    <t>50</t>
  </si>
  <si>
    <t>박근성</t>
  </si>
  <si>
    <t>010-9243-9992</t>
  </si>
  <si>
    <t>더샵분당하이스트</t>
  </si>
  <si>
    <t>070-4111-7910</t>
  </si>
  <si>
    <t>0505-106-4182</t>
  </si>
  <si>
    <t>분당구 정자동 90번지</t>
  </si>
  <si>
    <t>51</t>
  </si>
  <si>
    <t>박기윤</t>
  </si>
  <si>
    <t>010-2933-7450</t>
  </si>
  <si>
    <t>평택시 지제동삭2로177 더샆지제역센트럴파크 205동1503호</t>
  </si>
  <si>
    <t>52</t>
  </si>
  <si>
    <t>박문철</t>
  </si>
  <si>
    <t>010-8927-3909</t>
  </si>
  <si>
    <t>화성시 봉담읍 와우로18 한신더휴에듀파크109동 2901호</t>
  </si>
  <si>
    <t>53</t>
  </si>
  <si>
    <t>박민식</t>
  </si>
  <si>
    <t>010-3830-8946</t>
  </si>
  <si>
    <t>오산시 죽암로 108 호반써밋라로레 303동703호</t>
  </si>
  <si>
    <t>54</t>
  </si>
  <si>
    <t>박병훈</t>
  </si>
  <si>
    <t>010-3311-0377</t>
  </si>
  <si>
    <t>화성시 봉담읍 삼봉안길76 힐스테이트 217동 1304호</t>
  </si>
  <si>
    <t>주식회사 씨에이치건기</t>
  </si>
  <si>
    <t>(주)금강주택</t>
  </si>
  <si>
    <t>대야미역금강펜테리움레이크포레</t>
  </si>
  <si>
    <t>031-360-1077</t>
  </si>
  <si>
    <t>070-7500-6649</t>
  </si>
  <si>
    <t>군포시</t>
  </si>
  <si>
    <t>속달동 90-5</t>
  </si>
  <si>
    <t>박상완</t>
  </si>
  <si>
    <t>010-3534-2486</t>
  </si>
  <si>
    <t>서구 심곡동 두경주택 303호</t>
  </si>
  <si>
    <t>안양동 529-11외1필지</t>
  </si>
  <si>
    <t>032-668-8229</t>
  </si>
  <si>
    <t>032-668-8230</t>
  </si>
  <si>
    <t>만안구 안양동 529-11</t>
  </si>
  <si>
    <t>(주)이인</t>
  </si>
  <si>
    <t>55</t>
  </si>
  <si>
    <t>박상혁</t>
  </si>
  <si>
    <t>010-3765-9289</t>
  </si>
  <si>
    <t>이천시 관고동 두산아파트102동 1607호</t>
  </si>
  <si>
    <t>(주)대원타워렌탈</t>
  </si>
  <si>
    <t>동원건설산업(주)</t>
  </si>
  <si>
    <t>제3판교 테크노밸리 상업 1-2,3블럭 업무시설</t>
  </si>
  <si>
    <t>010-2980-8557</t>
  </si>
  <si>
    <t>rldyd22@dongwon.com</t>
  </si>
  <si>
    <t>수정구 금토동 대왕판교로768</t>
  </si>
  <si>
    <t>박성우</t>
  </si>
  <si>
    <t>010-6800-2375</t>
  </si>
  <si>
    <t>오산시 원동 773-33 에그리나 301호</t>
  </si>
  <si>
    <t>오산역 복합업무시설</t>
  </si>
  <si>
    <t>031-353-3735</t>
  </si>
  <si>
    <t>오산동 881-1</t>
  </si>
  <si>
    <t>(주)현대타워</t>
  </si>
  <si>
    <t>성무건설(주)</t>
  </si>
  <si>
    <t>박승환</t>
  </si>
  <si>
    <t>010-8509-2490</t>
  </si>
  <si>
    <t>화성시 효행구 봉담읍 삼천병마로 1314-9 금성주택 306호</t>
  </si>
  <si>
    <t>프레스티어자이</t>
  </si>
  <si>
    <t>010-7121-2682</t>
  </si>
  <si>
    <t>ygkim35@gsenc.com</t>
  </si>
  <si>
    <t>별양동 7번지</t>
  </si>
  <si>
    <t>박영주</t>
  </si>
  <si>
    <t>010-4031-3909</t>
  </si>
  <si>
    <t>광주시 도척면 궁뜰길34번길9-50 동원타운101호</t>
  </si>
  <si>
    <t>56</t>
  </si>
  <si>
    <t>박영현</t>
  </si>
  <si>
    <t>010-7242-6235</t>
  </si>
  <si>
    <t>시흥시 은계중앙로 65 은계파크자이 613동 2302호</t>
  </si>
  <si>
    <t>이수건설(주)</t>
  </si>
  <si>
    <t>시흥하중A1BL</t>
  </si>
  <si>
    <t>031-311-5668</t>
  </si>
  <si>
    <t>031-311-5669</t>
  </si>
  <si>
    <t>하중동 442-2</t>
  </si>
  <si>
    <t>박영환</t>
  </si>
  <si>
    <t>010-6876-4589</t>
  </si>
  <si>
    <t>충청남도</t>
  </si>
  <si>
    <t>태안군 소원면 법산리 673-1</t>
  </si>
  <si>
    <t>57</t>
  </si>
  <si>
    <t>박재홍</t>
  </si>
  <si>
    <t>010-8808-7601</t>
  </si>
  <si>
    <t>안산시 상록수 건건로82 영무예다음아파트 105동 502호</t>
  </si>
  <si>
    <t>평택삼성 P5 FAB동 2차구간</t>
  </si>
  <si>
    <t>박점규</t>
  </si>
  <si>
    <t>010-9211-1856</t>
  </si>
  <si>
    <t>안산시 상록구 본오동 각골동로2길 7-14 영동그린빌가동 401호</t>
  </si>
  <si>
    <t>평택삼성 P5 FAB동 (야간)</t>
  </si>
  <si>
    <t>박정철</t>
  </si>
  <si>
    <t>010-8283-7974</t>
  </si>
  <si>
    <t>화성시 동탄대로24가길7 107동 1303호 파크푸르지오</t>
  </si>
  <si>
    <t>58</t>
  </si>
  <si>
    <t>박정환</t>
  </si>
  <si>
    <t>010-5458-0305</t>
  </si>
  <si>
    <t>수원시 권선구 여기산로 54 서둔동 동남아파트 1동 212호</t>
  </si>
  <si>
    <t>박종선</t>
  </si>
  <si>
    <t>010-2340-0038</t>
  </si>
  <si>
    <t>오산시 운암로89, 210동 501호(오산동, 주공아파트)</t>
  </si>
  <si>
    <t>세류동 오피스텔 신축현장</t>
  </si>
  <si>
    <t>권선구 세류동1154-12</t>
  </si>
  <si>
    <t>협동산업</t>
  </si>
  <si>
    <t>현대건설㈜</t>
  </si>
  <si>
    <t>박종성</t>
  </si>
  <si>
    <t>010-5271-4528</t>
  </si>
  <si>
    <t>용인시 처인구 마평동 우성아파트 103동 1006호</t>
  </si>
  <si>
    <t>에스엠스틸(주) 건설부문</t>
  </si>
  <si>
    <t>클러스터용인경남아너스빌</t>
  </si>
  <si>
    <t>031-326-0858</t>
  </si>
  <si>
    <t>070-7585-3480</t>
  </si>
  <si>
    <t>처인구 양지면 양지리 713</t>
  </si>
  <si>
    <t>박철</t>
  </si>
  <si>
    <t>010-7398-6969</t>
  </si>
  <si>
    <t>화성시 영통로27번길 53, 208동 1806호</t>
  </si>
  <si>
    <t>동탄2지구 근상 41-2BL 신동 노블레스빌딩 신축공사</t>
  </si>
  <si>
    <t>031-214-1122</t>
  </si>
  <si>
    <t>031-236-1322</t>
  </si>
  <si>
    <t>동탄구 신동 882-2</t>
  </si>
  <si>
    <t>와이케이타워-원청계약</t>
  </si>
  <si>
    <t>동승건설 주식회사</t>
  </si>
  <si>
    <t>박철수</t>
  </si>
  <si>
    <t>010-4031-4762</t>
  </si>
  <si>
    <t>성남시 분당구 이매로54 성지아파트703동 102호</t>
  </si>
  <si>
    <t>59</t>
  </si>
  <si>
    <t>박춘성</t>
  </si>
  <si>
    <t>010-8284-7974</t>
  </si>
  <si>
    <t>화성시 봉담읍 상리1길21 중흥s클래스 109동 1205호</t>
  </si>
  <si>
    <t>에스지씨이앤씨(주)</t>
  </si>
  <si>
    <t>군포대야미A-2BL신혼희망타운</t>
  </si>
  <si>
    <t>031-362-5813</t>
  </si>
  <si>
    <t>031-362-5814</t>
  </si>
  <si>
    <t>속달동 127-1</t>
  </si>
  <si>
    <t>박태준</t>
  </si>
  <si>
    <t>010-3119-6866</t>
  </si>
  <si>
    <t>충청북도</t>
  </si>
  <si>
    <t>충주시 중앙탑면 원양4길51 시티자이 APT 117동 1305</t>
  </si>
  <si>
    <t>박현국</t>
  </si>
  <si>
    <t>010-2070-2858</t>
  </si>
  <si>
    <t>수원시 팔달구 우만동583-3 201호</t>
  </si>
  <si>
    <t>박현순</t>
  </si>
  <si>
    <t>010-3851-9233</t>
  </si>
  <si>
    <t>용인시 처인구 포곡로 287-1 B동 505호</t>
  </si>
  <si>
    <t>60</t>
  </si>
  <si>
    <t>배남현</t>
  </si>
  <si>
    <t>010-7605-8725</t>
  </si>
  <si>
    <t>용인시 기흥구 보라동 휴먼시아6단지 608동 1001호</t>
  </si>
  <si>
    <t>배형만</t>
  </si>
  <si>
    <t>010-5258-6265</t>
  </si>
  <si>
    <t>수원시 장안구 장안로 200 303동1401호 동신아파트</t>
  </si>
  <si>
    <t>61</t>
  </si>
  <si>
    <t>백경용</t>
  </si>
  <si>
    <t>010-2277-8086</t>
  </si>
  <si>
    <t>화성시 봉담읍 와우로18 한신 105동1403호</t>
  </si>
  <si>
    <t>백기경</t>
  </si>
  <si>
    <t>010-9018-9320</t>
  </si>
  <si>
    <t>화성시 동탄지성로 295 112-1503</t>
  </si>
  <si>
    <t>백승진</t>
  </si>
  <si>
    <t>010-6322-1679</t>
  </si>
  <si>
    <t>이천시 구만리로19(안흥동)롯데캐슬골드스카이104동701호</t>
  </si>
  <si>
    <t>62</t>
  </si>
  <si>
    <t>백시안</t>
  </si>
  <si>
    <t>010-2220-8877</t>
  </si>
  <si>
    <t>화성시 봉담읍 상리3길 87 그랑드비체 501동 2304호</t>
  </si>
  <si>
    <t>백창선</t>
  </si>
  <si>
    <t>010-8853-7673</t>
  </si>
  <si>
    <t>수원시 팔달구 지동221-4 나동201호</t>
  </si>
  <si>
    <t>무한건설오피스텔 신축공사</t>
  </si>
  <si>
    <t>만안구 안양동 391-29</t>
  </si>
  <si>
    <t>혜우이엔씨(주)</t>
  </si>
  <si>
    <t>63</t>
  </si>
  <si>
    <t>서두석</t>
  </si>
  <si>
    <t>010-3776-3725</t>
  </si>
  <si>
    <t>화성시 동탄대로9길19 2629동 1603호</t>
  </si>
  <si>
    <t>64</t>
  </si>
  <si>
    <t>서문석</t>
  </si>
  <si>
    <t>010-9975-5865</t>
  </si>
  <si>
    <t>의왕시 부곡복지관길34 201동 202호</t>
  </si>
  <si>
    <t>서상일</t>
  </si>
  <si>
    <t>010-6371-1575</t>
  </si>
  <si>
    <t>안산시 단원구 원선1로37 한화꿈에그린 108동301호</t>
  </si>
  <si>
    <t>서재승</t>
  </si>
  <si>
    <t>010-9131-5186</t>
  </si>
  <si>
    <t>수원시 권선구 구운동 949-8 401호</t>
  </si>
  <si>
    <t>마북동 298-1번지 일원 가로주택 정비사업 신축공사</t>
  </si>
  <si>
    <t>031-264-8638</t>
  </si>
  <si>
    <t>031-261-8638</t>
  </si>
  <si>
    <t>기승구 마북동 298-1번지</t>
  </si>
  <si>
    <t>정수이엔지-성주건설 단종</t>
  </si>
  <si>
    <t xml:space="preserve"> CA이앤씨(주)</t>
  </si>
  <si>
    <t>서재춘</t>
  </si>
  <si>
    <t>010-5377-0227</t>
  </si>
  <si>
    <t>광주시 경충대로1461번길43 106동1701호</t>
  </si>
  <si>
    <t>65</t>
  </si>
  <si>
    <t>서희</t>
  </si>
  <si>
    <t>010-3618-6454</t>
  </si>
  <si>
    <t>화성시 봉담읍 삼봉안길 30 봉담자이프라이드시티 102동 1402호</t>
  </si>
  <si>
    <t>오산세교2A-11</t>
  </si>
  <si>
    <t>010-8055-7735</t>
  </si>
  <si>
    <t>070-7500-8472</t>
  </si>
  <si>
    <t>누읍동 583-3</t>
  </si>
  <si>
    <t>66</t>
  </si>
  <si>
    <t>석강현</t>
  </si>
  <si>
    <t>010-7549-3695</t>
  </si>
  <si>
    <t>수원시 영통구 에듀타운로 경동해피리움 1022호</t>
  </si>
  <si>
    <t>67</t>
  </si>
  <si>
    <t>손명철</t>
  </si>
  <si>
    <t>010-6210-7894</t>
  </si>
  <si>
    <t>용인시 한터로 55-30 서희아파트 116동 503호</t>
  </si>
  <si>
    <t>주식회사 백산렌탈</t>
  </si>
  <si>
    <t>부발역에피트에디션</t>
  </si>
  <si>
    <t>031-694-1782</t>
  </si>
  <si>
    <t>031-694-1784</t>
  </si>
  <si>
    <t>부발읍 아미리 산111</t>
  </si>
  <si>
    <t>68</t>
  </si>
  <si>
    <t>송동하</t>
  </si>
  <si>
    <t>010-3302-6973</t>
  </si>
  <si>
    <t>수원시 팔달구 세지로314번길8 부영빌라 301호</t>
  </si>
  <si>
    <t>송두식</t>
  </si>
  <si>
    <t>010-2822-7042</t>
  </si>
  <si>
    <t>광주시 텃골길 47번길 13-47 스위티움401호</t>
  </si>
  <si>
    <t>(주)한성프라임</t>
  </si>
  <si>
    <t>효성중공업(주)</t>
  </si>
  <si>
    <t>해링턴스퀘어신흥역</t>
  </si>
  <si>
    <t>031-739-9578</t>
  </si>
  <si>
    <t>031-739-9579</t>
  </si>
  <si>
    <t>중원구 중앙동 912번지</t>
  </si>
  <si>
    <t>69</t>
  </si>
  <si>
    <t>송상욱</t>
  </si>
  <si>
    <t>010-5053-7076</t>
  </si>
  <si>
    <t>수원시 장안구 조원동 450-25번지 301호</t>
  </si>
  <si>
    <t>브레인시티푸르지오</t>
  </si>
  <si>
    <t>010-9027-8354</t>
  </si>
  <si>
    <t>ingyu.jung@daewooenc.com</t>
  </si>
  <si>
    <t>장안동 179-1번지</t>
  </si>
  <si>
    <t>70</t>
  </si>
  <si>
    <t>송영준</t>
  </si>
  <si>
    <t>010-4406-7409</t>
  </si>
  <si>
    <t>화성시 남양읍 남양천로45 시티프라디움2차</t>
  </si>
  <si>
    <t>송용규</t>
  </si>
  <si>
    <t>010-3111-2290</t>
  </si>
  <si>
    <t>평택시 세교동 부영아파트 509동 104호</t>
  </si>
  <si>
    <t>71</t>
  </si>
  <si>
    <t>송종선</t>
  </si>
  <si>
    <t>010-5328-7192</t>
  </si>
  <si>
    <t>오산시 수목원로 615 트루엘더퍼스트 101동 1803호</t>
  </si>
  <si>
    <t>송종욱</t>
  </si>
  <si>
    <t>010-9212-3111</t>
  </si>
  <si>
    <t>수원시 장안구 파장천로 12번길85 501호</t>
  </si>
  <si>
    <t>디에이치아델스타</t>
  </si>
  <si>
    <t>02-529-3841</t>
  </si>
  <si>
    <t>02-529-3842</t>
  </si>
  <si>
    <t>주암동 63-9번지</t>
  </si>
  <si>
    <t>72</t>
  </si>
  <si>
    <t>송지훈</t>
  </si>
  <si>
    <t>010-6303-2078</t>
  </si>
  <si>
    <t>평택시 죽백4로40 우미레이크파크 205동1001</t>
  </si>
  <si>
    <t>(주)금성백조주택</t>
  </si>
  <si>
    <t>안성아양B2블록금성백조예미지</t>
  </si>
  <si>
    <t>010-5405-7911</t>
  </si>
  <si>
    <t>안성시</t>
  </si>
  <si>
    <t>옥산동 659번지</t>
  </si>
  <si>
    <t>73</t>
  </si>
  <si>
    <t>신건</t>
  </si>
  <si>
    <t>010-8019-5370</t>
  </si>
  <si>
    <t>영등포구 당산로 42길 16 502동 1503호</t>
  </si>
  <si>
    <t>소래초등학교</t>
  </si>
  <si>
    <t>010-7176-3210</t>
  </si>
  <si>
    <t>070-4833-3074</t>
  </si>
  <si>
    <t>호현로 27번길 14</t>
  </si>
  <si>
    <t>(주)가교기업</t>
  </si>
  <si>
    <t>삼진종합건설(주)</t>
  </si>
  <si>
    <t>신찬곤</t>
  </si>
  <si>
    <t>010-8224-8655</t>
  </si>
  <si>
    <t>이천시 신둔면 인배로 64번길36</t>
  </si>
  <si>
    <t>주식회사 한불타워</t>
  </si>
  <si>
    <t>힐스테이트용인마크밸리</t>
  </si>
  <si>
    <t>031-321-7224</t>
  </si>
  <si>
    <t>031-321-7225</t>
  </si>
  <si>
    <t>처인구 남사읍 아곡리 705번지</t>
  </si>
  <si>
    <t>74</t>
  </si>
  <si>
    <t>심창현</t>
  </si>
  <si>
    <t>010-5116-8637</t>
  </si>
  <si>
    <t>수원시 권선구 일월천로16번길 39 107동 1302호</t>
  </si>
  <si>
    <t>수원당수A5블록신혼희망타운</t>
  </si>
  <si>
    <t>070-8858-2254</t>
  </si>
  <si>
    <t>031-407-6879</t>
  </si>
  <si>
    <t>권선구 당수동 388-19</t>
  </si>
  <si>
    <t>75</t>
  </si>
  <si>
    <t>안영진</t>
  </si>
  <si>
    <t>010-5664-6958</t>
  </si>
  <si>
    <t>성남시 중원구 황송로 77 금광래미안 106동 2203호</t>
  </si>
  <si>
    <t>양성호</t>
  </si>
  <si>
    <t>010-3367-3996</t>
  </si>
  <si>
    <t>화성시 봉담읍 와우로34번길12 봉담푸르지오 110동 2301호</t>
  </si>
  <si>
    <t>양영은</t>
  </si>
  <si>
    <t>010-5334-5123</t>
  </si>
  <si>
    <t>남동구 구월말로 109번길 6-2 201호</t>
  </si>
  <si>
    <t>76</t>
  </si>
  <si>
    <t>양완중</t>
  </si>
  <si>
    <t>010-2303-7351</t>
  </si>
  <si>
    <t>오산시 은여울로29 101동 1904호</t>
  </si>
  <si>
    <t>양용훈</t>
  </si>
  <si>
    <t>010-6659-6166</t>
  </si>
  <si>
    <t>시흥시 미산동 산15-1 부국미산아파트 1동 508호</t>
  </si>
  <si>
    <t>양정욱</t>
  </si>
  <si>
    <t>010-5447-1879</t>
  </si>
  <si>
    <t>오산시 양산로 460 세마이편한세상 102동 1301호</t>
  </si>
  <si>
    <t>양지훈</t>
  </si>
  <si>
    <t>010-3119-2454</t>
  </si>
  <si>
    <t>화성시 동탄순환대로 10길88 반도유보라10-2차 3602동1401호</t>
  </si>
  <si>
    <t>(주)태영건설</t>
  </si>
  <si>
    <t>동탄꿈의숲자연앤데시앙</t>
  </si>
  <si>
    <t>031-371-0180</t>
  </si>
  <si>
    <t>031-372-0181</t>
  </si>
  <si>
    <t>산척동 746</t>
  </si>
  <si>
    <t>77</t>
  </si>
  <si>
    <t>양현호</t>
  </si>
  <si>
    <t>010-4123-4008</t>
  </si>
  <si>
    <t>화성시 동탄대로 24길 199 동탄역포레너스 482-1404</t>
  </si>
  <si>
    <t>78</t>
  </si>
  <si>
    <t>어선현</t>
  </si>
  <si>
    <t>010-7913-2984</t>
  </si>
  <si>
    <t>수원시 권선구 세류동1120-10 503호</t>
  </si>
  <si>
    <t>제1종그린생활시설</t>
  </si>
  <si>
    <t>032-323-7328</t>
  </si>
  <si>
    <t>032-322-7328</t>
  </si>
  <si>
    <t>금정동 41-9</t>
  </si>
  <si>
    <t>디티엘종합건설 주식회사</t>
  </si>
  <si>
    <t>엄광섭</t>
  </si>
  <si>
    <t>010-2281-9715</t>
  </si>
  <si>
    <t>수원시 장안구 연무동 252-4 화영멘션 301호</t>
  </si>
  <si>
    <t>79</t>
  </si>
  <si>
    <t>엄기우</t>
  </si>
  <si>
    <t>010-8595-9715</t>
  </si>
  <si>
    <t>수원시 장안구 수원천로 458번길 9 301호 (화영아파트)</t>
  </si>
  <si>
    <t>엄기재</t>
  </si>
  <si>
    <t>010-4753-4065</t>
  </si>
  <si>
    <t>용인시 기흥구 구갈동 380 102동 403호(한성1차 아파트)</t>
  </si>
  <si>
    <t>오산 AMK R&amp;D 현장</t>
  </si>
  <si>
    <t>010-9329-2359</t>
  </si>
  <si>
    <t>ywoon.kim@samsung.com</t>
  </si>
  <si>
    <t>가장동 157-1</t>
  </si>
  <si>
    <t>엄동기</t>
  </si>
  <si>
    <t>010-4054-5437</t>
  </si>
  <si>
    <t>화성시 봉담읍 삼천병마로1321-10 동남메리트 103동 1804호</t>
  </si>
  <si>
    <t>520</t>
  </si>
  <si>
    <t>80</t>
  </si>
  <si>
    <t>엄동섭</t>
  </si>
  <si>
    <t>010-5443-0412</t>
  </si>
  <si>
    <t>용인시 처인구 포곡읍 포곡로159번지 103동202호</t>
  </si>
  <si>
    <t>(주)제일타워공영</t>
  </si>
  <si>
    <t>(주)비에스한양</t>
  </si>
  <si>
    <t>브레인시티수자인</t>
  </si>
  <si>
    <t>010-2523-7921</t>
  </si>
  <si>
    <t>031-611-0125</t>
  </si>
  <si>
    <t>장안동 18-20번지</t>
  </si>
  <si>
    <t>81</t>
  </si>
  <si>
    <t>오경민</t>
  </si>
  <si>
    <t>010-6690-3052</t>
  </si>
  <si>
    <t>오산시 초평중앙로37 .2011동 2102호</t>
  </si>
  <si>
    <t>(주)우리기계산업</t>
  </si>
  <si>
    <t>강산건설(주)</t>
  </si>
  <si>
    <t>시화MTV 지하주차장</t>
  </si>
  <si>
    <t>031-498-6754</t>
  </si>
  <si>
    <t>031-498-6764</t>
  </si>
  <si>
    <t>시화호수1로 50</t>
  </si>
  <si>
    <t>82</t>
  </si>
  <si>
    <t>오세훈</t>
  </si>
  <si>
    <t>010-3885-6571</t>
  </si>
  <si>
    <t>화성시 동탄지성로 394 반월자이더파크 107동 203호</t>
  </si>
  <si>
    <t>오윤석</t>
  </si>
  <si>
    <t>010-8904-4084</t>
  </si>
  <si>
    <t>용인시 기흥구 동백8로 백현서해그랑블2606동1602호</t>
  </si>
  <si>
    <t>브레인시티앤네이퍼미래도</t>
  </si>
  <si>
    <t>031-611-6081</t>
  </si>
  <si>
    <t>031-611-9166</t>
  </si>
  <si>
    <t>브레인시티 일반산업단지 공동 10BL, 가재동 20-42</t>
  </si>
  <si>
    <t>83</t>
  </si>
  <si>
    <t>오정환</t>
  </si>
  <si>
    <t>010-9476-8546</t>
  </si>
  <si>
    <t>군포시 대야2로67번길2. 4층</t>
  </si>
  <si>
    <t>용승철</t>
  </si>
  <si>
    <t>010-8616-9737</t>
  </si>
  <si>
    <t>화성시 동탄대로9길 20</t>
  </si>
  <si>
    <t>(주)오성산업</t>
  </si>
  <si>
    <t>농심엔지니어링(주)</t>
  </si>
  <si>
    <t>안성 장계리 물류센터 신축현장</t>
  </si>
  <si>
    <t>010-2302-3183</t>
  </si>
  <si>
    <t>02-827-2799</t>
  </si>
  <si>
    <t>죽산면 장계리 산39-1</t>
  </si>
  <si>
    <t>84</t>
  </si>
  <si>
    <t>우경석</t>
  </si>
  <si>
    <t>010-3393-8031</t>
  </si>
  <si>
    <t>동작구 신대방동 565</t>
  </si>
  <si>
    <t>정호개발주식회사</t>
  </si>
  <si>
    <t>금호건설(주)</t>
  </si>
  <si>
    <t>서울대방신혼희망타운</t>
  </si>
  <si>
    <t>02-849-8902</t>
  </si>
  <si>
    <t>010-8714-9728</t>
  </si>
  <si>
    <t>영등포구</t>
  </si>
  <si>
    <t>신길동 1288번지</t>
  </si>
  <si>
    <t>2015-00-00</t>
  </si>
  <si>
    <t>85</t>
  </si>
  <si>
    <t>우경원</t>
  </si>
  <si>
    <t>010-4775-2567</t>
  </si>
  <si>
    <t>부천시 성주로 158 심곡이편한세상 103동 303호</t>
  </si>
  <si>
    <t>86</t>
  </si>
  <si>
    <t>우창영</t>
  </si>
  <si>
    <t>010-4570-0546</t>
  </si>
  <si>
    <t>수원시 팔달구 월드컵로311번길 12-30 102호</t>
  </si>
  <si>
    <t>87</t>
  </si>
  <si>
    <t>원종찬</t>
  </si>
  <si>
    <t>010-6252-8842</t>
  </si>
  <si>
    <t>안성시 서인동50</t>
  </si>
  <si>
    <t>88</t>
  </si>
  <si>
    <t>원철규</t>
  </si>
  <si>
    <t>010-3272-2835</t>
  </si>
  <si>
    <t>광주시 도척면 궁뜰길34번길9-50 동원타운301호</t>
  </si>
  <si>
    <t>동부건설(주)</t>
  </si>
  <si>
    <t>용인클러스터 상생협력시설(기숙사 1차)</t>
  </si>
  <si>
    <t>031-526-0041</t>
  </si>
  <si>
    <t>070-4322-1242</t>
  </si>
  <si>
    <t>처인구 원삼면 독성리 551-6번지</t>
  </si>
  <si>
    <t>유도상</t>
  </si>
  <si>
    <t>010-5879-4194</t>
  </si>
  <si>
    <t>화성시 동탄대로 1길32 금호어울림레이크2차 2901동 601호</t>
  </si>
  <si>
    <t>89</t>
  </si>
  <si>
    <t>유명화</t>
  </si>
  <si>
    <t>010-4137-9398</t>
  </si>
  <si>
    <t>수원시 기흥구 강남서로86 한라비발디 아델70 203동402호</t>
  </si>
  <si>
    <t>90</t>
  </si>
  <si>
    <t>유상덕</t>
  </si>
  <si>
    <t>본조</t>
  </si>
  <si>
    <t>010-9055-4929</t>
  </si>
  <si>
    <t>화성시 동탄기흥로 393-20, 901동 1902호 (오산동, 동탄역파라곤)</t>
  </si>
  <si>
    <t>유상일</t>
  </si>
  <si>
    <t>010-2039-8336</t>
  </si>
  <si>
    <t>평택시 브레인시티로20 대광로제비앙 214동 3004호</t>
  </si>
  <si>
    <t>평택 고덕국제화계획지구 Abc-36BL 공동주택 신축공사</t>
  </si>
  <si>
    <t>고덕동 Abc-36BL</t>
  </si>
  <si>
    <t>유영채</t>
  </si>
  <si>
    <t>010-4244-5424</t>
  </si>
  <si>
    <t>이천시 신둔면 도자예술로97</t>
  </si>
  <si>
    <t>유정술</t>
  </si>
  <si>
    <t>010-9140-3419</t>
  </si>
  <si>
    <t>시흥시 서울대학로328 호반2차 908동 2901호</t>
  </si>
  <si>
    <t>안산 글로벌클라우드 센터</t>
  </si>
  <si>
    <t>010-6384-5797</t>
  </si>
  <si>
    <t>ein.yang@samsung.com</t>
  </si>
  <si>
    <t>안산시</t>
  </si>
  <si>
    <t>단원구 초지동 624-3</t>
  </si>
  <si>
    <t>-</t>
  </si>
  <si>
    <t>91</t>
  </si>
  <si>
    <t>유종우</t>
  </si>
  <si>
    <t>010-4559-2158</t>
  </si>
  <si>
    <t>평택시 안중읍 송담리 846-7 201호</t>
  </si>
  <si>
    <t>650</t>
  </si>
  <si>
    <t>92</t>
  </si>
  <si>
    <t>유종혁</t>
  </si>
  <si>
    <t>010-7741-8221</t>
  </si>
  <si>
    <t>성남시 중원구 금빛로 69번길5 2층</t>
  </si>
  <si>
    <t>유희정</t>
  </si>
  <si>
    <t>010-3631-9781</t>
  </si>
  <si>
    <t>평택시 소사3로22 212동 2805호</t>
  </si>
  <si>
    <t>93</t>
  </si>
  <si>
    <t>육근범</t>
  </si>
  <si>
    <t>010-4737-7409</t>
  </si>
  <si>
    <t>이천시 갈산로84-3번길 우성아파트101동1102호</t>
  </si>
  <si>
    <t>94</t>
  </si>
  <si>
    <t>윤대식</t>
  </si>
  <si>
    <t>010-4919-7403</t>
  </si>
  <si>
    <t>성남시 수정구 시민로 209 102동606호 태평동 신동아 파밀리에</t>
  </si>
  <si>
    <t>한노</t>
  </si>
  <si>
    <t>95</t>
  </si>
  <si>
    <t>윤병현</t>
  </si>
  <si>
    <t>010-8962-4751</t>
  </si>
  <si>
    <t>서초구 서초동1660-28</t>
  </si>
  <si>
    <t>세종 교육업무시설</t>
  </si>
  <si>
    <t>세종특별자치시</t>
  </si>
  <si>
    <t>나성동 536</t>
  </si>
  <si>
    <t>태성타워산업(주)</t>
  </si>
  <si>
    <t>(주)신미화건설</t>
  </si>
  <si>
    <t>윤성우</t>
  </si>
  <si>
    <t>010-9277-5038</t>
  </si>
  <si>
    <t>광명시 오리로 984번길59 401호</t>
  </si>
  <si>
    <t>96</t>
  </si>
  <si>
    <t>윤소담</t>
  </si>
  <si>
    <t>010-8829-4751</t>
  </si>
  <si>
    <t>화성시 진안동 458-29 그레이스빌 404호</t>
  </si>
  <si>
    <t>경기도 화성시 오산동 근린생활시설 및 오피스텔</t>
  </si>
  <si>
    <t>010-3734-9556</t>
  </si>
  <si>
    <t>wcjddyd@hanmail.net</t>
  </si>
  <si>
    <t>오산동 976-8</t>
  </si>
  <si>
    <t>엘에스타워</t>
  </si>
  <si>
    <t>재성종합건설(주)</t>
  </si>
  <si>
    <t>윤승일</t>
  </si>
  <si>
    <t>010-9088-4568</t>
  </si>
  <si>
    <t>수원시 권선구 호매실동 극동스타클래스 905동1304호</t>
  </si>
  <si>
    <t>용인덕성 AI데이터센터</t>
  </si>
  <si>
    <t>처인구 이동읍 덕성리 448-5</t>
  </si>
  <si>
    <t>윤정희</t>
  </si>
  <si>
    <t>010-2431-5666</t>
  </si>
  <si>
    <t>오산시 원동382-8 희망주택 가동401호</t>
  </si>
  <si>
    <t>윤천수</t>
  </si>
  <si>
    <t>010-3771-1878</t>
  </si>
  <si>
    <t>화성시 효행로291번길 26 신일1차 110동1004호</t>
  </si>
  <si>
    <t>주식회사월드타워</t>
  </si>
  <si>
    <t>엘리프한신더휴수원D3블록</t>
  </si>
  <si>
    <t>070-4179-8871</t>
  </si>
  <si>
    <t>031-416-9609</t>
  </si>
  <si>
    <t>권선구 당수동 728번지</t>
  </si>
  <si>
    <t>97</t>
  </si>
  <si>
    <t>윤태승</t>
  </si>
  <si>
    <t>010-2307-0426</t>
  </si>
  <si>
    <t>용인시 기흥구 어정로 62-28 그대가크레던스 108-704</t>
  </si>
  <si>
    <t>(주)금강건기</t>
  </si>
  <si>
    <t>(주)대광건영</t>
  </si>
  <si>
    <t>브레인시티메디스파크로제비앙모아엘가</t>
  </si>
  <si>
    <t>031-662-1255</t>
  </si>
  <si>
    <t>031-662-1256</t>
  </si>
  <si>
    <t>장안동 42번지</t>
  </si>
  <si>
    <t>98</t>
  </si>
  <si>
    <t>이경재</t>
  </si>
  <si>
    <t>010-9007-1427</t>
  </si>
  <si>
    <t>안양시 만안구 만안로123번길18 1103호</t>
  </si>
  <si>
    <t>99</t>
  </si>
  <si>
    <t>010-4796-9114</t>
  </si>
  <si>
    <t>오산시 동부대로338번길38 라온프라이빗스위트 104동 605호</t>
  </si>
  <si>
    <t>100</t>
  </si>
  <si>
    <t>이동준</t>
  </si>
  <si>
    <t>010-8525-3960</t>
  </si>
  <si>
    <t>오산시 경기대로178 비젼탑604호</t>
  </si>
  <si>
    <t>032-2137-3012</t>
  </si>
  <si>
    <t>101</t>
  </si>
  <si>
    <t>010-5318-8683</t>
  </si>
  <si>
    <t>수원시 권선구 매곡로43 호반베르디움더센트럴 201동 903호</t>
  </si>
  <si>
    <t>이동진</t>
  </si>
  <si>
    <t>010-8622-7193</t>
  </si>
  <si>
    <t>수원시 장안구 금당로39번길 33 조원주공뉴타운 102동 1102호</t>
  </si>
  <si>
    <t>(주)진성타워</t>
  </si>
  <si>
    <t>양우건설(주)</t>
  </si>
  <si>
    <t>과천주암C-2신혼희망타운</t>
  </si>
  <si>
    <t>02-6241-3730</t>
  </si>
  <si>
    <t>02-6241-3733</t>
  </si>
  <si>
    <t>주암동 381-3</t>
  </si>
  <si>
    <t>102</t>
  </si>
  <si>
    <t>이민제</t>
  </si>
  <si>
    <t>010-9133-2635</t>
  </si>
  <si>
    <t>성남시 중원구 성남대로 993 (421호)</t>
  </si>
  <si>
    <t>(주)금강서비스</t>
  </si>
  <si>
    <t>103</t>
  </si>
  <si>
    <t>이병호</t>
  </si>
  <si>
    <t>010-7942-1325</t>
  </si>
  <si>
    <t>성남시 중원구 성남센트럴푸르지오 b동414호</t>
  </si>
  <si>
    <t>(주)유니텍서비스</t>
  </si>
  <si>
    <t>진흥기업(주)</t>
  </si>
  <si>
    <t>효성해링턴플레이스양평</t>
  </si>
  <si>
    <t>031-404-8179</t>
  </si>
  <si>
    <t>031-771-1729</t>
  </si>
  <si>
    <t>양평군</t>
  </si>
  <si>
    <t>양평읍 오빈리 140-1번지</t>
  </si>
  <si>
    <t>104</t>
  </si>
  <si>
    <t>이상건</t>
  </si>
  <si>
    <t>010-7556-6400</t>
  </si>
  <si>
    <t>성남시 중원구 금광로11 금빛그랑메종 105동 804</t>
  </si>
  <si>
    <t>비노조</t>
  </si>
  <si>
    <t>105</t>
  </si>
  <si>
    <t>이상인</t>
  </si>
  <si>
    <t>010-7229-9199</t>
  </si>
  <si>
    <t>이천시 갈산로84-3번길 우성아파트102동1409호</t>
  </si>
  <si>
    <t>용인푸르지오원클러스터파크</t>
  </si>
  <si>
    <t>031-321-6475</t>
  </si>
  <si>
    <t>sunchang.kim@daewooenc.com</t>
  </si>
  <si>
    <t>처인구 양지면 양지리 산97-12</t>
  </si>
  <si>
    <t>이성열</t>
  </si>
  <si>
    <t>010-3922-3208</t>
  </si>
  <si>
    <t>용인시 기흥구 덕영대로 2077번길33 효성아파트 108동 502호</t>
  </si>
  <si>
    <t>평택브레인시티한신더휴</t>
  </si>
  <si>
    <t>031-662-9908</t>
  </si>
  <si>
    <t>031-662-9909</t>
  </si>
  <si>
    <t>장안동 28-2</t>
  </si>
  <si>
    <t>106</t>
  </si>
  <si>
    <t>이수종</t>
  </si>
  <si>
    <t>010-3535-9991</t>
  </si>
  <si>
    <t>영등포구 도신로 33길7 101호</t>
  </si>
  <si>
    <t>대방산업개발(주)</t>
  </si>
  <si>
    <t>시흥거모지구대방엘리움더루체I</t>
  </si>
  <si>
    <t>010-9139-2667</t>
  </si>
  <si>
    <t>yyj2667@db-dvp.co.kr</t>
  </si>
  <si>
    <t>거모동 1175</t>
  </si>
  <si>
    <t>이수한</t>
  </si>
  <si>
    <t>010-2924-9592</t>
  </si>
  <si>
    <t>오산시 문시로 183-19 서동탄역더샵파크시티 109동1303</t>
  </si>
  <si>
    <t>화성남양뉴타운우미린에듀하이</t>
  </si>
  <si>
    <t>070-5046-3007</t>
  </si>
  <si>
    <t>070-5046-3010</t>
  </si>
  <si>
    <t>남양시</t>
  </si>
  <si>
    <t>남양읍 남양리 2198</t>
  </si>
  <si>
    <t>107</t>
  </si>
  <si>
    <t>이승훈</t>
  </si>
  <si>
    <t>010-9071-4208</t>
  </si>
  <si>
    <t>용인시 기흥구 덕영대로 2077번길 33, 104동 2604호</t>
  </si>
  <si>
    <t>신축현장</t>
  </si>
  <si>
    <t>070-8285-3074</t>
  </si>
  <si>
    <t>서울시</t>
  </si>
  <si>
    <t>서초구</t>
  </si>
  <si>
    <t>서초동 1574-7</t>
  </si>
  <si>
    <t>주식회사 가교기업</t>
  </si>
  <si>
    <t>바론건설(주)</t>
  </si>
  <si>
    <t>이승희</t>
  </si>
  <si>
    <t>010-6290-3465</t>
  </si>
  <si>
    <t>시흥시 정왕동 28대로8번길 계룡아파트 2017동 304호</t>
  </si>
  <si>
    <t>주식회사 삼진타워</t>
  </si>
  <si>
    <t>화성비봉 지역주택조합 아파트 신축공사</t>
  </si>
  <si>
    <t>070-4888-4390</t>
  </si>
  <si>
    <t>070-4888-4392</t>
  </si>
  <si>
    <t>비봉면 구포리 614-18번지 일원</t>
  </si>
  <si>
    <t>이영대</t>
  </si>
  <si>
    <t>010-3251-6849</t>
  </si>
  <si>
    <t>화성시 동탄대로4길 95 레이크반도유보라 9.0 3408동 103호</t>
  </si>
  <si>
    <t>이영주</t>
  </si>
  <si>
    <t>010-8807-7286</t>
  </si>
  <si>
    <t>오산시 운천로165번길 13-8 302호</t>
  </si>
  <si>
    <t>108</t>
  </si>
  <si>
    <t>이우성</t>
  </si>
  <si>
    <t>010-9011-3436</t>
  </si>
  <si>
    <t>수원시 권선구 매곡로67 호반써밋수원 104동 501호</t>
  </si>
  <si>
    <t>이우진</t>
  </si>
  <si>
    <t>010-3324-2587</t>
  </si>
  <si>
    <t>용인시 처인구 이동읍 천리 백옥대로 711 한천마을 금광베네스타 108동 902호</t>
  </si>
  <si>
    <t>109</t>
  </si>
  <si>
    <t>이원길</t>
  </si>
  <si>
    <t>010-6771-6684</t>
  </si>
  <si>
    <t>성남시 중원구 금상로 134 110동 1306호</t>
  </si>
  <si>
    <t>오피스텔 및 그린생활시설 신축공사</t>
  </si>
  <si>
    <t>032-429-5442</t>
  </si>
  <si>
    <t>032-429-5443</t>
  </si>
  <si>
    <t>권선구 호매실동1395-2</t>
  </si>
  <si>
    <t>(주)에스제이프레스</t>
  </si>
  <si>
    <t>(주)더웰종합건설</t>
  </si>
  <si>
    <t>이원열</t>
  </si>
  <si>
    <t>010-5149-2066</t>
  </si>
  <si>
    <t>오산시 현충로 107-30 푸르지오 102동 1401호</t>
  </si>
  <si>
    <t>110</t>
  </si>
  <si>
    <t>이윤기</t>
  </si>
  <si>
    <t>010-8482-3107</t>
  </si>
  <si>
    <t>광주시 송정동 413-43 숲속마을 102동202호</t>
  </si>
  <si>
    <t>기타(비고에 작성)</t>
  </si>
  <si>
    <t>수원 친환경 에너지 개선공사</t>
  </si>
  <si>
    <t>010-3139-7223</t>
  </si>
  <si>
    <t>yckim26@bhi.co.kr</t>
  </si>
  <si>
    <t>영통구 매영로 293</t>
  </si>
  <si>
    <t>한국지역난방공사㈜</t>
  </si>
  <si>
    <t>이은호</t>
  </si>
  <si>
    <t>010-3313-3472</t>
  </si>
  <si>
    <t>화성시 남양천로 17 303동 501호</t>
  </si>
  <si>
    <t>이익수</t>
  </si>
  <si>
    <t>010-6363-3888</t>
  </si>
  <si>
    <t>수원시 매실로70 GS아파트 114동505호</t>
  </si>
  <si>
    <t>두산에너빌리티(주)</t>
  </si>
  <si>
    <t>의왕월암 A3BL 아파트 건설공사 2공구</t>
  </si>
  <si>
    <t>010-6398-2385</t>
  </si>
  <si>
    <t>031-8085-2786</t>
  </si>
  <si>
    <t>월암동 110-1</t>
  </si>
  <si>
    <t>111</t>
  </si>
  <si>
    <t>이일권</t>
  </si>
  <si>
    <t>010-3709-6008</t>
  </si>
  <si>
    <t>부천시 성주로214번길 53-14</t>
  </si>
  <si>
    <t>이재성</t>
  </si>
  <si>
    <t>010-3128-2314</t>
  </si>
  <si>
    <t>광주시 송정동 662번지 행정타운 아이파크 110동1403호</t>
  </si>
  <si>
    <t>112</t>
  </si>
  <si>
    <t>이재훈</t>
  </si>
  <si>
    <t>010-5630-7213</t>
  </si>
  <si>
    <t>이천시 갈산동 우성아파트 102동 1409호</t>
  </si>
  <si>
    <t>이정민</t>
  </si>
  <si>
    <t>010-9556-9123</t>
  </si>
  <si>
    <t>시흥시 정왕동 2789-4(부자마을 204호)</t>
  </si>
  <si>
    <t>e편한세상동탄역어반원</t>
  </si>
  <si>
    <t>010-9068-7310</t>
  </si>
  <si>
    <t>gwnam@dlenc.co.kr</t>
  </si>
  <si>
    <t>오산동 1021</t>
  </si>
  <si>
    <t>범진종합건설(주)</t>
  </si>
  <si>
    <t>113</t>
  </si>
  <si>
    <t>이종국</t>
  </si>
  <si>
    <t>010-4391-9399</t>
  </si>
  <si>
    <t>화성시 남양읍 남양천로17 303동 501호</t>
  </si>
  <si>
    <t>이종필</t>
  </si>
  <si>
    <t>010-2496-0059</t>
  </si>
  <si>
    <t>수원시 장안구 장안로 211번지 동신아파트 215동 1205호</t>
  </si>
  <si>
    <t>시흥롯데캐슬시그니처2블록</t>
  </si>
  <si>
    <t>031-435-9677</t>
  </si>
  <si>
    <t>은행동 288-1번지</t>
  </si>
  <si>
    <t>720</t>
  </si>
  <si>
    <t>114</t>
  </si>
  <si>
    <t>이종훈</t>
  </si>
  <si>
    <t>010-5456-7414</t>
  </si>
  <si>
    <t>화성시 봉담읍 동화길122 동화휴먼시아6단지 601동 402호</t>
  </si>
  <si>
    <t>광명경찰서 신축공사</t>
  </si>
  <si>
    <t>010-9241-0909</t>
  </si>
  <si>
    <t>02-899-7067</t>
  </si>
  <si>
    <t>광명시</t>
  </si>
  <si>
    <t>소하동 1283</t>
  </si>
  <si>
    <t>(주)엘기업</t>
  </si>
  <si>
    <t>신형건설(주)</t>
  </si>
  <si>
    <t>이준영</t>
  </si>
  <si>
    <t>010-4094-7614</t>
  </si>
  <si>
    <t>용인시 처인구 금어로 46, 힐스테이트용인둔전역 106동 303호</t>
  </si>
  <si>
    <t>(주)태왕이앤씨</t>
  </si>
  <si>
    <t>과천주암C1블록</t>
  </si>
  <si>
    <t>02-6677-7002</t>
  </si>
  <si>
    <t>02-6677-7003</t>
  </si>
  <si>
    <t>주암동 208-5</t>
  </si>
  <si>
    <t>이태희</t>
  </si>
  <si>
    <t>010-5297-0025</t>
  </si>
  <si>
    <t>안성시 공도읍 마정강변길 31 임광그대가아파트 103동 406호</t>
  </si>
  <si>
    <t>극동건설(주)</t>
  </si>
  <si>
    <t>성남금토A-4</t>
  </si>
  <si>
    <t>070-4154-6362</t>
  </si>
  <si>
    <t>010-9081-4457</t>
  </si>
  <si>
    <t>수정구 금토동 416-1</t>
  </si>
  <si>
    <t>115</t>
  </si>
  <si>
    <t>이현식</t>
  </si>
  <si>
    <t>010-8902-0808</t>
  </si>
  <si>
    <t>수원시 영통구 태장로 36번길 푸루지오 파인베르 203동 703호</t>
  </si>
  <si>
    <t>군포대야미대방디에트르시그니처</t>
  </si>
  <si>
    <t>031-689-3945</t>
  </si>
  <si>
    <t>070-5222-9523</t>
  </si>
  <si>
    <t>둔대동 57번지</t>
  </si>
  <si>
    <t>300</t>
  </si>
  <si>
    <t>116</t>
  </si>
  <si>
    <t>이훈</t>
  </si>
  <si>
    <t>010-3339-3843</t>
  </si>
  <si>
    <t>수원시 권선구 서수원로 183번길2 푸르지오2차 203동607호</t>
  </si>
  <si>
    <t>임경모</t>
  </si>
  <si>
    <t>010-5433-2017</t>
  </si>
  <si>
    <t>안산시 삼리로23 상록마을106-202</t>
  </si>
  <si>
    <t>용인푸르지오클루센트</t>
  </si>
  <si>
    <t>010-8407-5959</t>
  </si>
  <si>
    <t>seokhyun.kang@daewooenc.com</t>
  </si>
  <si>
    <t>처인구 역북동 811</t>
  </si>
  <si>
    <t>임경배</t>
  </si>
  <si>
    <t>010-2571-4751</t>
  </si>
  <si>
    <t>성남시 수정구 대왕판교로 995 판교밸리자이 101동1101호</t>
  </si>
  <si>
    <t>판교641 PSM타워</t>
  </si>
  <si>
    <t>010-6266-6061</t>
  </si>
  <si>
    <t>minseoban@samsungcom</t>
  </si>
  <si>
    <t>분당구 삼평동 641번지</t>
  </si>
  <si>
    <t>117</t>
  </si>
  <si>
    <t>임광섭</t>
  </si>
  <si>
    <t>010-5347-4525</t>
  </si>
  <si>
    <t>오산시 세마문학로50 e편한세상 122동204호</t>
  </si>
  <si>
    <t>임대현</t>
  </si>
  <si>
    <t>010-5774-0555</t>
  </si>
  <si>
    <t>오산시 문시로 183-19 서동탄역더샵파크시티 113동903</t>
  </si>
  <si>
    <t>118</t>
  </si>
  <si>
    <t>임용</t>
  </si>
  <si>
    <t>010-3747-6177</t>
  </si>
  <si>
    <t>수원시 권선구 서호동로14번길 76-34 삼익리베리움 405동301호</t>
  </si>
  <si>
    <t>금정역푸르지오그랑블</t>
  </si>
  <si>
    <t>031-477-8529</t>
  </si>
  <si>
    <t>02-2288-3113</t>
  </si>
  <si>
    <t>금정동 146-3</t>
  </si>
  <si>
    <t>119</t>
  </si>
  <si>
    <t>임용빈</t>
  </si>
  <si>
    <t>010-7926-6424</t>
  </si>
  <si>
    <t>화성시 봉담읍 동화길82 동일아파트 104동 2102호</t>
  </si>
  <si>
    <t>고덕신도시아테라</t>
  </si>
  <si>
    <t>031-611-7360</t>
  </si>
  <si>
    <t>031-611-7361</t>
  </si>
  <si>
    <t>고덕동 1693-2745</t>
  </si>
  <si>
    <t>임장현</t>
  </si>
  <si>
    <t>010-6277-9607</t>
  </si>
  <si>
    <t>화성시 동탄순환대로10길88 3614동104호</t>
  </si>
  <si>
    <t>120</t>
  </si>
  <si>
    <t>임재명</t>
  </si>
  <si>
    <t>010-9555-6610</t>
  </si>
  <si>
    <t>광주시 경충대로 1480번길 32 마인츠힐105동101호</t>
  </si>
  <si>
    <t>임재수</t>
  </si>
  <si>
    <t>010-4167-7217</t>
  </si>
  <si>
    <t>수원시 팔달구 화서2동 금강아파트151동904호</t>
  </si>
  <si>
    <t>롯데캐슬시그니처중앙</t>
  </si>
  <si>
    <t>031-8085-4713</t>
  </si>
  <si>
    <t>031-411-2101</t>
  </si>
  <si>
    <t>단원구 고잔동 674번지</t>
  </si>
  <si>
    <t>121</t>
  </si>
  <si>
    <t>임재현</t>
  </si>
  <si>
    <t>010-6364-9616</t>
  </si>
  <si>
    <t>오산시 양산동 276 진현빌라 402호(한신대 133번길 48-5 402호)</t>
  </si>
  <si>
    <t>122</t>
  </si>
  <si>
    <t>임재훈</t>
  </si>
  <si>
    <t>010-9274-5555</t>
  </si>
  <si>
    <t>안양시 호계3동 현대2차홈타운 207동 504호</t>
  </si>
  <si>
    <t>123</t>
  </si>
  <si>
    <t>임종찬</t>
  </si>
  <si>
    <t>010-7468-7978</t>
  </si>
  <si>
    <t>시흥시 정왕동 1565-9번지</t>
  </si>
  <si>
    <t>010-6743-4825</t>
  </si>
  <si>
    <t>임지병</t>
  </si>
  <si>
    <t>010-8718-9780</t>
  </si>
  <si>
    <t>용인시 기흥구 신정로25 신흥덕롯데캐슬109동103호</t>
  </si>
  <si>
    <t>라온건설(주)</t>
  </si>
  <si>
    <t>용인플랫폼시티라온프라이빗아르디에</t>
  </si>
  <si>
    <t>031-213-7942</t>
  </si>
  <si>
    <t>031-216-7942</t>
  </si>
  <si>
    <t>기흥구 영덕동 55-1번지</t>
  </si>
  <si>
    <t>임한종</t>
  </si>
  <si>
    <t>010-8431-2468</t>
  </si>
  <si>
    <t>화성시 동탄역로196 103동 2702호</t>
  </si>
  <si>
    <t>(주)장원기전</t>
  </si>
  <si>
    <t>오산세교2 A-12BL 민간참여 공공주택 건설사업</t>
  </si>
  <si>
    <t>031-378-4829</t>
  </si>
  <si>
    <t>010-9698-7920</t>
  </si>
  <si>
    <t>벌음동 244</t>
  </si>
  <si>
    <t>780</t>
  </si>
  <si>
    <t>124</t>
  </si>
  <si>
    <t>임현창</t>
  </si>
  <si>
    <t>010-3460-2648</t>
  </si>
  <si>
    <t>화성시 동탄구 동단대로 10길20 2514동 2104호</t>
  </si>
  <si>
    <t>장민수</t>
  </si>
  <si>
    <t>010-9065-1065</t>
  </si>
  <si>
    <t>남동구 포구로35 유호앤시티 102동 2002호</t>
  </si>
  <si>
    <t>장수영</t>
  </si>
  <si>
    <t>010-7744-7746</t>
  </si>
  <si>
    <t>화성시 동탄대로8길91 부영1단지2452동2704호</t>
  </si>
  <si>
    <t>장순일</t>
  </si>
  <si>
    <t>010-3783-7678</t>
  </si>
  <si>
    <t>도봉구 노해로62길86 501호</t>
  </si>
  <si>
    <t>125</t>
  </si>
  <si>
    <t>장용준</t>
  </si>
  <si>
    <t>010-8557-4748</t>
  </si>
  <si>
    <t>화성시 동탄순환대10길88 레이크힐반도유보라 아이비파크10.2 3601동102호</t>
  </si>
  <si>
    <t>126</t>
  </si>
  <si>
    <t>장준민</t>
  </si>
  <si>
    <t>010-3754-8669</t>
  </si>
  <si>
    <t>화성시 효행로1337-23 나노시티역 이편한세상 102동1503호</t>
  </si>
  <si>
    <t>장필진</t>
  </si>
  <si>
    <t>010-8927-2157</t>
  </si>
  <si>
    <t>화성시 동탄숲속로 103 802동102</t>
  </si>
  <si>
    <t>127</t>
  </si>
  <si>
    <t>전동환</t>
  </si>
  <si>
    <t>010-2377-9088</t>
  </si>
  <si>
    <t>평택시 고덕국제3길 91 302호</t>
  </si>
  <si>
    <t>전성준</t>
  </si>
  <si>
    <t>010-7124-5739</t>
  </si>
  <si>
    <t>화성시 동탄2대로4길143 아이파크 3438동302호</t>
  </si>
  <si>
    <t>전재우</t>
  </si>
  <si>
    <t>010-3328-4290</t>
  </si>
  <si>
    <t>수원시 권선구 곡선로20 수원아이파크시티610동901호</t>
  </si>
  <si>
    <t>국제산업렌탈(주)</t>
  </si>
  <si>
    <t>(주)한토건설</t>
  </si>
  <si>
    <t>동탄그웬160</t>
  </si>
  <si>
    <t>031-375-7076</t>
  </si>
  <si>
    <t>031-375-7078</t>
  </si>
  <si>
    <t>동탄구 신동720번지</t>
  </si>
  <si>
    <t>전혁배</t>
  </si>
  <si>
    <t>010-9956-9039</t>
  </si>
  <si>
    <t>성남시 중원구 성남대로 993 오렌지카운티 421호</t>
  </si>
  <si>
    <t>정규원</t>
  </si>
  <si>
    <t>010-3091-2254</t>
  </si>
  <si>
    <t>용인시 기흥구 신정로25 레이시티108동3403호</t>
  </si>
  <si>
    <t>용인푸르지오원클러스터2단지</t>
  </si>
  <si>
    <t>031-273-9783</t>
  </si>
  <si>
    <t>myunghoon.chung@daewooenc.com</t>
  </si>
  <si>
    <t>처인구 남동 산 126-1</t>
  </si>
  <si>
    <t>128</t>
  </si>
  <si>
    <t>정명관</t>
  </si>
  <si>
    <t>010-3299-2768</t>
  </si>
  <si>
    <t>이천시 부발읍 경충대로2241(삼익아파트102동1109호)</t>
  </si>
  <si>
    <t>정민섭</t>
  </si>
  <si>
    <t>010-5441-4902</t>
  </si>
  <si>
    <t>안산시 상록구 항가울로28.102동1104호</t>
  </si>
  <si>
    <t>129</t>
  </si>
  <si>
    <t>정병모</t>
  </si>
  <si>
    <t>010-3548-5625</t>
  </si>
  <si>
    <t>오산시 청학로 266-22 806호</t>
  </si>
  <si>
    <t>130</t>
  </si>
  <si>
    <t>정성욱</t>
  </si>
  <si>
    <t>010-8965-4560</t>
  </si>
  <si>
    <t>중구 영종대로196 15-25 운서역반도유보라 102동1903호</t>
  </si>
  <si>
    <t>131</t>
  </si>
  <si>
    <t>정승일</t>
  </si>
  <si>
    <t>010-3092-1508</t>
  </si>
  <si>
    <t>여주시 여주남로58-31 101동1103호 금호어울림 아파트</t>
  </si>
  <si>
    <t>이천부발역에피트</t>
  </si>
  <si>
    <t>031-694-1781</t>
  </si>
  <si>
    <t>031-631-1780</t>
  </si>
  <si>
    <t>부발읍 아미리 737-6</t>
  </si>
  <si>
    <t>132</t>
  </si>
  <si>
    <t>정영주</t>
  </si>
  <si>
    <t>010-8822-9465</t>
  </si>
  <si>
    <t>용인시 기흥구 덕영대로2077번길33 기흥효성해링턴플레이스 102동2301호</t>
  </si>
  <si>
    <t>정영진</t>
  </si>
  <si>
    <t>010-6238-3925</t>
  </si>
  <si>
    <t>화성시 동탄청계로 303-13 신안인스빌2차 1115동701호</t>
  </si>
  <si>
    <t>010-2486-2320</t>
  </si>
  <si>
    <t>133</t>
  </si>
  <si>
    <t>정용우</t>
  </si>
  <si>
    <t>010-5166-5678</t>
  </si>
  <si>
    <t>강동구 길동 472 희훈리치파크101동408호</t>
  </si>
  <si>
    <t>minseo.ban@samsung.com</t>
  </si>
  <si>
    <t>134</t>
  </si>
  <si>
    <t>정우곤</t>
  </si>
  <si>
    <t>010-7444-9837</t>
  </si>
  <si>
    <t>부평구 동수로 36 부평역해링턴플레이스 109동 2504호</t>
  </si>
  <si>
    <t>135</t>
  </si>
  <si>
    <t>정우열</t>
  </si>
  <si>
    <t>010-4475-9837</t>
  </si>
  <si>
    <t>강동구 천호대로158길 44 401호</t>
  </si>
  <si>
    <t>정윤기</t>
  </si>
  <si>
    <t>010-8615-9876</t>
  </si>
  <si>
    <t xml:space="preserve">안양시 만안구 석수로192번길 22, B01호(석수동, 우성빌라) </t>
  </si>
  <si>
    <t>010-8531-5115</t>
  </si>
  <si>
    <t>02-3665-5166</t>
  </si>
  <si>
    <t>(주)정수이엔지</t>
  </si>
  <si>
    <t>정인홍</t>
  </si>
  <si>
    <t>010-9907-2429</t>
  </si>
  <si>
    <t>안양시 동안구 인덕원로 28번지 3층</t>
  </si>
  <si>
    <t>136</t>
  </si>
  <si>
    <t>정재호</t>
  </si>
  <si>
    <t>010-8147-1050</t>
  </si>
  <si>
    <t>용인시 처인구 낙은로59 우남퍼스트빌 302동104호</t>
  </si>
  <si>
    <t>이천롯데캐슬센트럴페라즈스카이</t>
  </si>
  <si>
    <t>031-638-9821</t>
  </si>
  <si>
    <t>031-638-9823</t>
  </si>
  <si>
    <t>안흥동 284-2번지</t>
  </si>
  <si>
    <t>137</t>
  </si>
  <si>
    <t>정종덕</t>
  </si>
  <si>
    <t>010-8781-4273</t>
  </si>
  <si>
    <t>용인시 처인구 포은대로 1263번길 27-1</t>
  </si>
  <si>
    <t>138</t>
  </si>
  <si>
    <t>정태수</t>
  </si>
  <si>
    <t>010-9912-8132</t>
  </si>
  <si>
    <t>용인시 기흥구 덕영대로 2077번길 20, 106동 101호(영덕동 청현마을 신일아파트)</t>
  </si>
  <si>
    <t>용인 하이닉스 PH4 CUB동</t>
  </si>
  <si>
    <t>정택영</t>
  </si>
  <si>
    <t>010-4717-2665</t>
  </si>
  <si>
    <t>수원시 장안구 영화동410-12</t>
  </si>
  <si>
    <t>정해진</t>
  </si>
  <si>
    <t>010-3357-4341</t>
  </si>
  <si>
    <t>광주시 경충대로1461번길43 쌍령센트럴푸르지오106동1002호</t>
  </si>
  <si>
    <t>주식회사 경복타워</t>
  </si>
  <si>
    <t>더샵분당티에르원</t>
  </si>
  <si>
    <t>031-8022-7531</t>
  </si>
  <si>
    <t>031-8022-3533</t>
  </si>
  <si>
    <t>분당구 정자동 88번지(느티로70)</t>
  </si>
  <si>
    <t>139</t>
  </si>
  <si>
    <t>정현수</t>
  </si>
  <si>
    <t>010-9628-1920</t>
  </si>
  <si>
    <t>성남시 분당구 새나리로6번길 17 203호</t>
  </si>
  <si>
    <t>140</t>
  </si>
  <si>
    <t>정휘주</t>
  </si>
  <si>
    <t>010-3704-4406</t>
  </si>
  <si>
    <t>안양시 만안구 안양로 497 A동602호</t>
  </si>
  <si>
    <t>조광명</t>
  </si>
  <si>
    <t>010-3192-0754</t>
  </si>
  <si>
    <t>평택시 평남로 737 한빛APT 105동 705호</t>
  </si>
  <si>
    <t>141</t>
  </si>
  <si>
    <t>조병곤</t>
  </si>
  <si>
    <t>010-3756-5523</t>
  </si>
  <si>
    <t>수원시 장안구 장안로271 자이렉스비아 119동1205호</t>
  </si>
  <si>
    <t>주식회사 한산타워</t>
  </si>
  <si>
    <t>프로젝트 TIMBUKTU</t>
  </si>
  <si>
    <t>031-380-0173</t>
  </si>
  <si>
    <t>031-380-0175</t>
  </si>
  <si>
    <t>단원구 성곡동 644-2</t>
  </si>
  <si>
    <t>142</t>
  </si>
  <si>
    <t>조삼재</t>
  </si>
  <si>
    <t>010-6740-0308</t>
  </si>
  <si>
    <t>광주시 초월읍 경충대로 1081-22, 101동 302호</t>
  </si>
  <si>
    <t>143</t>
  </si>
  <si>
    <t>조정원</t>
  </si>
  <si>
    <t>010-2867-9987</t>
  </si>
  <si>
    <t>관악구 대학동 1732번지 서초그린아파트101-105</t>
  </si>
  <si>
    <t>캄스퀘어 안산 데이터센터</t>
  </si>
  <si>
    <t>010-9089-4528</t>
  </si>
  <si>
    <t>단원구 성곡동 670-4번지</t>
  </si>
  <si>
    <t>144</t>
  </si>
  <si>
    <t>조진명</t>
  </si>
  <si>
    <t>010-7928-6589</t>
  </si>
  <si>
    <t>수원시 권선구 오목천동 533번길7번지 태산아파트101-1805</t>
  </si>
  <si>
    <t>조철용</t>
  </si>
  <si>
    <t>010-3636-9964</t>
  </si>
  <si>
    <t>강원도</t>
  </si>
  <si>
    <t>속초시 사진용촌길70 112동202호 엘크루라테라</t>
  </si>
  <si>
    <t>관양동주상복합</t>
  </si>
  <si>
    <t>02-425-6021</t>
  </si>
  <si>
    <t>02-425-6022</t>
  </si>
  <si>
    <t>동안구 관양동 1506-18</t>
  </si>
  <si>
    <t>주형철</t>
  </si>
  <si>
    <t>010-3655-7413</t>
  </si>
  <si>
    <t>화성시 동탄광역환승로 62 (101동 4403호)</t>
  </si>
  <si>
    <t>(주)중앙티씨렌탈</t>
  </si>
  <si>
    <t>010-4454-2970</t>
  </si>
  <si>
    <t>031-337-2286</t>
  </si>
  <si>
    <t>145</t>
  </si>
  <si>
    <t>진기수</t>
  </si>
  <si>
    <t>010-2388-6304</t>
  </si>
  <si>
    <t>용인시 기흥구 덕영대로 2063 기흥푸르지오포레피스 103동 302호</t>
  </si>
  <si>
    <t>진두영</t>
  </si>
  <si>
    <t>010-4179-2617</t>
  </si>
  <si>
    <t>성남시 수정구 위례서일로 46 한라비발디오피스텔 1820호</t>
  </si>
  <si>
    <t>146</t>
  </si>
  <si>
    <t>진종현</t>
  </si>
  <si>
    <t>010-4161-5577</t>
  </si>
  <si>
    <t>광주시 장지5길 9-12 아인빌 1동 101호</t>
  </si>
  <si>
    <t>천명환</t>
  </si>
  <si>
    <t>010-9399-1003</t>
  </si>
  <si>
    <t>용인시 처인구 양지읍 양대로7 동문디이스트 1403호</t>
  </si>
  <si>
    <t>최기석</t>
  </si>
  <si>
    <t>010-5527-5580</t>
  </si>
  <si>
    <t>안양시 만안구 석수3동 770-3번지 신양2차 아파트</t>
  </si>
  <si>
    <t>147</t>
  </si>
  <si>
    <t>최득순</t>
  </si>
  <si>
    <t>010-3139-5176</t>
  </si>
  <si>
    <t>용인시 처인구 금학로91 금령마을 우남퍼스트빌 104동 302호</t>
  </si>
  <si>
    <t>더플래티넘스카이헤론</t>
  </si>
  <si>
    <t>031-652-9503</t>
  </si>
  <si>
    <t>031-652-9505</t>
  </si>
  <si>
    <t>통복동 108-3번지</t>
  </si>
  <si>
    <t>148</t>
  </si>
  <si>
    <t>최명성</t>
  </si>
  <si>
    <t>010-5597-0320</t>
  </si>
  <si>
    <t>안산시 상록구 중보로22 늘푸른아파트 104동 501호</t>
  </si>
  <si>
    <t>149</t>
  </si>
  <si>
    <t>최병주</t>
  </si>
  <si>
    <t>010-2232-7993</t>
  </si>
  <si>
    <t>오산시 경기대로24-27 오산더퍼스트현대아파트 108동 802호</t>
  </si>
  <si>
    <t>150</t>
  </si>
  <si>
    <t>최부조</t>
  </si>
  <si>
    <t>010-8945-2630</t>
  </si>
  <si>
    <t>수원시 팔달구 고등로15 푸르지오자이 133동1805호</t>
  </si>
  <si>
    <t>151</t>
  </si>
  <si>
    <t>최상현</t>
  </si>
  <si>
    <t>010-4432-3234</t>
  </si>
  <si>
    <t>수원시 장안구 정자동 395 동신아파트 101동 101호</t>
  </si>
  <si>
    <t>안양시 안양동 업무시설(오피스텔) 신축공사</t>
  </si>
  <si>
    <t>031-272-8186</t>
  </si>
  <si>
    <t>만안구 안양동 688-28번지 외 1필지</t>
  </si>
  <si>
    <t>(주)미전종합건설</t>
  </si>
  <si>
    <t>최양호</t>
  </si>
  <si>
    <t>010-6589-9708</t>
  </si>
  <si>
    <t>성남시 수정로80 우리빌602호</t>
  </si>
  <si>
    <t>복정역에피트</t>
  </si>
  <si>
    <t>031-757-0991</t>
  </si>
  <si>
    <t>031-757-0995</t>
  </si>
  <si>
    <t>수정구 복정동 243번지</t>
  </si>
  <si>
    <t>152</t>
  </si>
  <si>
    <t>최영길</t>
  </si>
  <si>
    <t>010-7409-0253</t>
  </si>
  <si>
    <t>수원시 서둔동 벌터로1</t>
  </si>
  <si>
    <t>용인 SK PH4 FAB동</t>
  </si>
  <si>
    <t>최영식</t>
  </si>
  <si>
    <t>010-5367-1139</t>
  </si>
  <si>
    <t>화성시 봉담읍 와우로18 한신더휴 102-2601</t>
  </si>
  <si>
    <t>153</t>
  </si>
  <si>
    <t>최용우</t>
  </si>
  <si>
    <t>010-2201-1181</t>
  </si>
  <si>
    <t>부천시 소사구 경인옛로37 소사본동힐스테이트 103동 1604호</t>
  </si>
  <si>
    <t>(주)탑랜드타워</t>
  </si>
  <si>
    <t>031-611-0171</t>
  </si>
  <si>
    <t>고덕동 1693-2774</t>
  </si>
  <si>
    <t>최원영</t>
  </si>
  <si>
    <t>010-3733-0294</t>
  </si>
  <si>
    <t>수원시 장안구 수성로 157번길 60브리시엘 아파트.101동3102호</t>
  </si>
  <si>
    <t>154</t>
  </si>
  <si>
    <t>최원택</t>
  </si>
  <si>
    <t>010-9252-7052</t>
  </si>
  <si>
    <t>평택시 소사3로 22 효성해링턴 2단지 218동 702호</t>
  </si>
  <si>
    <t>010-7392-2081</t>
  </si>
  <si>
    <t>155</t>
  </si>
  <si>
    <t>최정호</t>
  </si>
  <si>
    <t>010-2490-9010</t>
  </si>
  <si>
    <t>수원시 장안구 조원동 한일타운119동1506호</t>
  </si>
  <si>
    <t>최혁</t>
  </si>
  <si>
    <t>010-2389-9014</t>
  </si>
  <si>
    <t>안산시 단원구 고잔동 656-27번지 엘리시움 201호</t>
  </si>
  <si>
    <t>최현재</t>
  </si>
  <si>
    <t>010-5351-1185</t>
  </si>
  <si>
    <t>오산시 외삼미동 650 113동 903호</t>
  </si>
  <si>
    <t>최형수</t>
  </si>
  <si>
    <t>010-4653-4959</t>
  </si>
  <si>
    <t>용인시 처인구 포곡읍 포곡로 99-4 다복그린빌라 106동 402호</t>
  </si>
  <si>
    <t>제1종 그린생활시설</t>
  </si>
  <si>
    <t>031-377-6674</t>
  </si>
  <si>
    <t>031-696-6675</t>
  </si>
  <si>
    <t>동삭동 661-1</t>
  </si>
  <si>
    <t>하이웍스(주)</t>
  </si>
  <si>
    <t>(주)우버종합건설</t>
  </si>
  <si>
    <t>하성욱</t>
  </si>
  <si>
    <t>010-9981-0068</t>
  </si>
  <si>
    <t>용인시 처인구 모현읍 왕산로 13 힐스테이트몬테로이 1단지 106동 1302호</t>
  </si>
  <si>
    <t>한세환</t>
  </si>
  <si>
    <t>010-6401-9317</t>
  </si>
  <si>
    <t>화성시 동탄순환대로 26길 55 408동 1001호</t>
  </si>
  <si>
    <t>(주)미래도건설</t>
  </si>
  <si>
    <t>031-611-9467</t>
  </si>
  <si>
    <t>031-611-9649</t>
  </si>
  <si>
    <t>156</t>
  </si>
  <si>
    <t>한지선</t>
  </si>
  <si>
    <t>010-2722-3200</t>
  </si>
  <si>
    <t>안산시 상록구 건건로82 영무예다음아파트 105동 502호</t>
  </si>
  <si>
    <t>화성능동A-1BL공동주택</t>
  </si>
  <si>
    <t>031-234-7478</t>
  </si>
  <si>
    <t>031-235-7478</t>
  </si>
  <si>
    <t>능동 1292</t>
  </si>
  <si>
    <t>함승일</t>
  </si>
  <si>
    <t>010-3794-2247</t>
  </si>
  <si>
    <t>오산시 청학로 250 포트센트럴시티 506호</t>
  </si>
  <si>
    <t>힐스테이트오산더클래스</t>
  </si>
  <si>
    <t>070-8280-3224</t>
  </si>
  <si>
    <t>070-4348-9211</t>
  </si>
  <si>
    <t>양산동 10-2번지</t>
  </si>
  <si>
    <t>157</t>
  </si>
  <si>
    <t>허수창</t>
  </si>
  <si>
    <t>010-4217-8423</t>
  </si>
  <si>
    <t>시흥시 거북섬남로8 202동2504호 시화mtv대우푸르지오디오션</t>
  </si>
  <si>
    <t>158</t>
  </si>
  <si>
    <t>허화창</t>
  </si>
  <si>
    <t>010-6714-4988</t>
  </si>
  <si>
    <t>시흥시 목감둘레로 80 601동 1203호</t>
  </si>
  <si>
    <t>159</t>
  </si>
  <si>
    <t>현수호</t>
  </si>
  <si>
    <t>010-8377-1230</t>
  </si>
  <si>
    <t>안양시 동안구 호계동 971-1 101동 510호</t>
  </si>
  <si>
    <t>160</t>
  </si>
  <si>
    <t>현시윤</t>
  </si>
  <si>
    <t>010-4944-6883</t>
  </si>
  <si>
    <t>화성시 동탄 순환대로 12길 85 3637동 604호</t>
  </si>
  <si>
    <t>161</t>
  </si>
  <si>
    <t>현지성</t>
  </si>
  <si>
    <t>010-2556-6928</t>
  </si>
  <si>
    <t>오산시 경기대로 178 비전탑 604호</t>
  </si>
  <si>
    <t>LG 성남빌딩</t>
  </si>
  <si>
    <t>031-721-5671</t>
  </si>
  <si>
    <t>031-721-5672</t>
  </si>
  <si>
    <t>중원구 여수동 203</t>
  </si>
  <si>
    <t>엘티삼보주식회사</t>
  </si>
  <si>
    <t>홍대훈</t>
  </si>
  <si>
    <t>010-9248-1437</t>
  </si>
  <si>
    <t>화성시 동탄구 동탄대로6길 84 3064동 203호</t>
  </si>
  <si>
    <t>롯데칠성음료 용인 RDC</t>
  </si>
  <si>
    <t>010-8627-2080</t>
  </si>
  <si>
    <t>hanyoung21@lotte.net</t>
  </si>
  <si>
    <t>처인구 남사읍 북리 151-3외</t>
  </si>
  <si>
    <t>롯데테크㈜</t>
  </si>
  <si>
    <t>홍류진</t>
  </si>
  <si>
    <t>010-3103-0082</t>
  </si>
  <si>
    <t>화성시 동탄원천로382-37 SK뷰파크 116동1404호</t>
  </si>
  <si>
    <t>162</t>
  </si>
  <si>
    <t>홍영종</t>
  </si>
  <si>
    <t>010-8269-9115</t>
  </si>
  <si>
    <t>경기도 오산시 오산천로 158번길 2-8</t>
  </si>
  <si>
    <t>163</t>
  </si>
  <si>
    <t>황규진</t>
  </si>
  <si>
    <t>010-8253-4242</t>
  </si>
  <si>
    <t>이천시 이섭대천로1427 대우아파트102동1304호</t>
  </si>
  <si>
    <t>790</t>
  </si>
  <si>
    <t>164</t>
  </si>
  <si>
    <t>황도연</t>
  </si>
  <si>
    <t>010-9966-1523</t>
  </si>
  <si>
    <t>수원시 권선구 서수원로 99 권선꿈에그린아파트 112동 1203호</t>
  </si>
  <si>
    <t>황세영</t>
  </si>
  <si>
    <t>010-4616-9278</t>
  </si>
  <si>
    <t>용인시 기흥구 청덕동555-1 301호</t>
  </si>
  <si>
    <t>165</t>
  </si>
  <si>
    <t>황우진</t>
  </si>
  <si>
    <t>010-8732-8995</t>
  </si>
  <si>
    <t>용인시 처인구 지삼로590번길24 행정타운 두산위브1단지102동1001호</t>
  </si>
  <si>
    <t>황창연</t>
  </si>
  <si>
    <t>010-3305-2521</t>
  </si>
  <si>
    <t>화성시 동탄순환대로8길14 동탄호수공원아이파크 3126-1302</t>
  </si>
  <si>
    <t>166</t>
  </si>
  <si>
    <t>공흥섭</t>
  </si>
  <si>
    <t>지부보류</t>
  </si>
  <si>
    <t>010-5323-3210</t>
  </si>
  <si>
    <t>군포시 수리산로203번안길 27-4, 401호</t>
  </si>
  <si>
    <t>권천수</t>
  </si>
  <si>
    <t>010-3565-4089</t>
  </si>
  <si>
    <t>오산시 세마문학로50, 111동 2303호 (지곶동, 세교 E-편한세상아파트)</t>
  </si>
  <si>
    <t>주식회사 현성건설</t>
  </si>
  <si>
    <t>(주)한양</t>
  </si>
  <si>
    <t>이천시 대월지역주택조합 아파트 신축공사</t>
  </si>
  <si>
    <t>010-5641-4000</t>
  </si>
  <si>
    <t>tdragon77@nate.com</t>
  </si>
  <si>
    <t>대월면 사동리 347-212 외 48필지</t>
  </si>
  <si>
    <t>김웅수</t>
  </si>
  <si>
    <t>010-4504-8736</t>
  </si>
  <si>
    <t>오산시 현충로 72번길 14, 107동 301호</t>
  </si>
  <si>
    <t>김재출</t>
  </si>
  <si>
    <t>010-3024-4351</t>
  </si>
  <si>
    <t>화성시 동탄구 동탄대로9길 19, 2625동 1603호</t>
  </si>
  <si>
    <t>김진우</t>
  </si>
  <si>
    <t>010-4441-2375</t>
  </si>
  <si>
    <t>수원시 권선구 경수대로 212번길 34, 수원아이파크시티 10단지 1001동 1303호</t>
  </si>
  <si>
    <t>민준관</t>
  </si>
  <si>
    <t>010-7759-3074</t>
  </si>
  <si>
    <t>안성시 공도읍 서동대로 4079 주은풍림아파트 107동1812호</t>
  </si>
  <si>
    <t>청주동남 A-2BL 민간참여 공공주택건설사업</t>
  </si>
  <si>
    <t>043-283-0902</t>
  </si>
  <si>
    <t>043-283-0903</t>
  </si>
  <si>
    <t>청주시</t>
  </si>
  <si>
    <t>상당구 방서동 805, 청주동남 택지개발지구 내 A-2BL</t>
  </si>
  <si>
    <t>박성문</t>
  </si>
  <si>
    <t>010-5232-9792</t>
  </si>
  <si>
    <t>용인시 기흥구 구성로 53번길 8 가동 210호</t>
  </si>
  <si>
    <t>성경민</t>
  </si>
  <si>
    <t>010-3223-9108</t>
  </si>
  <si>
    <t>안양시 만안구 삼봉로 61 102동 305호</t>
  </si>
  <si>
    <t>오남균</t>
  </si>
  <si>
    <t>010-3058-3940</t>
  </si>
  <si>
    <t>성남시 중원구 금광로 72 금빛그랑메종 501동 1403호</t>
  </si>
  <si>
    <t>이계윤</t>
  </si>
  <si>
    <t>010-5018-3588</t>
  </si>
  <si>
    <t>수원시 영통구 원천동 337-76 501호</t>
  </si>
  <si>
    <t>취업 중</t>
  </si>
  <si>
    <t>이명관</t>
  </si>
  <si>
    <t>010-5324-7731</t>
  </si>
  <si>
    <t>평택시 서재로36 103동 806호</t>
  </si>
  <si>
    <t>대전 도안 푸르지오 디아델 2단지 현장</t>
  </si>
  <si>
    <t>042-544-8872</t>
  </si>
  <si>
    <t>jinsuck.lee@daewooenc.com</t>
  </si>
  <si>
    <t>대전광역시</t>
  </si>
  <si>
    <t>유성구</t>
  </si>
  <si>
    <t>용계동 73-48</t>
  </si>
  <si>
    <t>이세영</t>
  </si>
  <si>
    <t>010-5732-7731</t>
  </si>
  <si>
    <t>건설타워</t>
  </si>
  <si>
    <t>장도성</t>
  </si>
  <si>
    <t>010-6363-4747</t>
  </si>
  <si>
    <t>오산시 한신대 133번길 17-5 1동 301호</t>
  </si>
  <si>
    <t>장수안</t>
  </si>
  <si>
    <t>010-2992-7800</t>
  </si>
  <si>
    <t>오산시 한신대 133번길 17-5 1동 302호</t>
  </si>
  <si>
    <t>장수원</t>
  </si>
  <si>
    <t>010-6886-7800</t>
  </si>
  <si>
    <t>오산시 한신대 133번길 17-5 1동 303호</t>
  </si>
  <si>
    <t>정진수</t>
  </si>
  <si>
    <t>010-2983-2973</t>
  </si>
  <si>
    <t>수원시 권선구 세지로 66번길 25-26, 304호</t>
  </si>
  <si>
    <t>경덕테크</t>
  </si>
  <si>
    <t>현대중공업 해양사업부</t>
  </si>
  <si>
    <t>052-256-5231</t>
  </si>
  <si>
    <t>울산광역시</t>
  </si>
  <si>
    <t>동구</t>
  </si>
  <si>
    <t>동구 (현대중공업)</t>
  </si>
  <si>
    <t>조선소?</t>
  </si>
  <si>
    <t>플랜트?</t>
  </si>
  <si>
    <t>최문섭</t>
  </si>
  <si>
    <t>010-3763-0629</t>
  </si>
  <si>
    <t>화성시 동탄구 동탄대로4가길 26,3336동 701호(장지동, 제일풍경채 에듀&amp;파크)</t>
  </si>
  <si>
    <t>하도빈</t>
  </si>
  <si>
    <t>010-3366-9514</t>
  </si>
  <si>
    <t>성남시 수정구 고등로 33 302동 803호</t>
  </si>
  <si>
    <t>(주)대우건설 컨소시엄</t>
  </si>
  <si>
    <t>남양주왕숙 B-1BL 통합형 민간참여 공공주택건설사업 (남양주 왕숙 푸르지오 디 퍼스트 1단지)</t>
  </si>
  <si>
    <t>031-527-5513</t>
  </si>
  <si>
    <t>031-527-5514</t>
  </si>
  <si>
    <t>남양주시</t>
  </si>
  <si>
    <t>진접읍 연평리 778 일원</t>
  </si>
  <si>
    <t>한지수</t>
  </si>
  <si>
    <t>010-5831-3002</t>
  </si>
  <si>
    <t>화성시 동탄대로 2길 49 롯데캐슬 3227동 1301호</t>
  </si>
  <si>
    <t>대기자</t>
  </si>
  <si>
    <t>정지훈</t>
  </si>
  <si>
    <t>010-5577-0411</t>
  </si>
  <si>
    <t>성남시 중원구 금상로 61번길 15, 3이호</t>
  </si>
  <si>
    <t>대전 가오동 2구역 주택 재건축 정비사업 (대전 가오동 2구역 재건축정비사업)</t>
  </si>
  <si>
    <t>042-286-9919</t>
  </si>
  <si>
    <t>042-286-9920</t>
  </si>
  <si>
    <t>대전로 499 일원</t>
  </si>
  <si>
    <t>박준홍</t>
  </si>
  <si>
    <t>010-4616-0223</t>
  </si>
  <si>
    <t>용인시 처인구 진덕로 35,405호</t>
  </si>
  <si>
    <t>1.26년 전체 소속별 점유율 (통계제외 현장 제외)</t>
  </si>
  <si>
    <t>소속</t>
  </si>
  <si>
    <t>섬유</t>
  </si>
  <si>
    <t>건산</t>
  </si>
  <si>
    <t>직원</t>
  </si>
  <si>
    <t>합계</t>
  </si>
  <si>
    <t>비율</t>
  </si>
  <si>
    <t>전체</t>
  </si>
  <si>
    <t>100%</t>
  </si>
  <si>
    <t>2.경기지역본부 현장 점유율 현황</t>
  </si>
  <si>
    <t>지부</t>
  </si>
  <si>
    <t>현장명</t>
  </si>
  <si>
    <t>타워회사</t>
  </si>
  <si>
    <t>특이사항</t>
  </si>
  <si>
    <t>총대수</t>
  </si>
  <si>
    <t>북부</t>
  </si>
  <si>
    <t>복정동 한라건설</t>
  </si>
  <si>
    <t>성남동원건설</t>
  </si>
  <si>
    <t>제3판교 테크노밸리 상업 1-2,3블럭 업무시설 신축공사(동원건설산업)</t>
  </si>
  <si>
    <t>북부지부 소계</t>
  </si>
  <si>
    <t>남부</t>
  </si>
  <si>
    <t>동탄2 태영건설</t>
  </si>
  <si>
    <t>동탄2 대우건설(국영)</t>
  </si>
  <si>
    <t>동탄2 대우건설(동양)</t>
  </si>
  <si>
    <t>동탄2 한토</t>
  </si>
  <si>
    <t>평택브레인시티 동원</t>
  </si>
  <si>
    <t>평택고덕 대우건설(썬타워)</t>
  </si>
  <si>
    <t>평택고덕 대우건설(한산타워)</t>
  </si>
  <si>
    <t>화양지구 쌍용</t>
  </si>
  <si>
    <t>안성농심</t>
  </si>
  <si>
    <t>안성건영</t>
  </si>
  <si>
    <t>동탄2 서희27블럭</t>
  </si>
  <si>
    <t>63블럭 금호</t>
  </si>
  <si>
    <t>탑랜드</t>
  </si>
  <si>
    <t>평택고덕 금호건설 64bl</t>
  </si>
  <si>
    <t>미정2</t>
  </si>
  <si>
    <t>남부지부 소계</t>
  </si>
  <si>
    <t>남서</t>
  </si>
  <si>
    <t>남양우미린</t>
  </si>
  <si>
    <t>남서지부 소계</t>
  </si>
  <si>
    <t>동부</t>
  </si>
  <si>
    <t>이천한양</t>
  </si>
  <si>
    <t>현성</t>
  </si>
  <si>
    <t>통계제외</t>
  </si>
  <si>
    <t>요진건설</t>
  </si>
  <si>
    <t>홍문2지구 공동주택</t>
  </si>
  <si>
    <t>동부지부 소계</t>
  </si>
  <si>
    <t>서부</t>
  </si>
  <si>
    <t>시화mtv주차장</t>
  </si>
  <si>
    <t>우리기계</t>
  </si>
  <si>
    <t>안산프로젝트팀부크(현대건설)</t>
  </si>
  <si>
    <t>안산글로벌클라우드(삼성물산)</t>
  </si>
  <si>
    <t>하중지구 한신공영</t>
  </si>
  <si>
    <t>하중지구 양우건설</t>
  </si>
  <si>
    <t>시흥거모지구 S-2BL,B-2BL(대방산업개발)</t>
  </si>
  <si>
    <t>시흥하중 A-1BL 공동주택 건설공사</t>
  </si>
  <si>
    <t>서부지부 소계</t>
  </si>
  <si>
    <t>북서</t>
  </si>
  <si>
    <t>군포시 SGC건설</t>
  </si>
  <si>
    <t>관양동 DL이앤씨</t>
  </si>
  <si>
    <t>한백·벽산</t>
  </si>
  <si>
    <t>한백6대·벽산2대</t>
  </si>
  <si>
    <t>의왕청계 시티건설</t>
  </si>
  <si>
    <t>과천 태왕</t>
  </si>
  <si>
    <t>과천 주암동 디에이치 아델스타(현대건설)</t>
  </si>
  <si>
    <t>안양 샘병원</t>
  </si>
  <si>
    <t>안양 박달동 신안아파트 재건축(현대산업개발)</t>
  </si>
  <si>
    <t>안양역세권지구 재개발정비사업(현대산업개발)</t>
  </si>
  <si>
    <t>북서지부 소계</t>
  </si>
  <si>
    <t>용인</t>
  </si>
  <si>
    <t>양지 대우 원클러스터</t>
  </si>
  <si>
    <t>양지 SM경남 아너스빌</t>
  </si>
  <si>
    <t>역북 푸르지오 클루센트(대우건설)</t>
  </si>
  <si>
    <t>고림 대광로제비앙</t>
  </si>
  <si>
    <t>백암 오뚜기물류센타</t>
  </si>
  <si>
    <t>안양샘병원</t>
  </si>
  <si>
    <t>마평동 여성복지회관</t>
  </si>
  <si>
    <t>(주)무기타워렌탈</t>
  </si>
  <si>
    <t>신대지구 대우</t>
  </si>
  <si>
    <t>용인 라온프라이빗</t>
  </si>
  <si>
    <t>용인덕성 AI데이터센터 신축공사</t>
  </si>
  <si>
    <t>원철규(미정3)</t>
  </si>
  <si>
    <t>용인지부 소계</t>
  </si>
  <si>
    <t>중부</t>
  </si>
  <si>
    <t>당수동 한신</t>
  </si>
  <si>
    <t>당수동 한라</t>
  </si>
  <si>
    <t>당수동 계룡</t>
  </si>
  <si>
    <t>영화동 두산</t>
  </si>
  <si>
    <t>수원 친환경 에너지 개선공사 주기기 구매</t>
  </si>
  <si>
    <t>중부지부 소계</t>
  </si>
  <si>
    <t>3.타워(렌탈)사별 점유 현황 (통계제외 제외)</t>
  </si>
  <si>
    <t>타워사</t>
  </si>
  <si>
    <t>현장수</t>
  </si>
  <si>
    <t>기타</t>
  </si>
  <si>
    <t>한노점유율</t>
  </si>
  <si>
    <t>본부</t>
  </si>
  <si>
    <t>임대사</t>
  </si>
  <si>
    <t>대기</t>
  </si>
  <si>
    <t>경상남도</t>
  </si>
  <si>
    <t>경상북도</t>
  </si>
  <si>
    <t>광주광역시</t>
  </si>
  <si>
    <t>부산광역시</t>
  </si>
  <si>
    <t>세종시</t>
  </si>
  <si>
    <t>전라남도</t>
  </si>
  <si>
    <t>전라북도</t>
  </si>
  <si>
    <t>제주도</t>
  </si>
  <si>
    <t>(주)강산건기</t>
  </si>
  <si>
    <t>(주)광신종합건설</t>
  </si>
  <si>
    <t>대형</t>
  </si>
  <si>
    <t>춘천시</t>
  </si>
  <si>
    <t>가평군</t>
  </si>
  <si>
    <t>창원시</t>
  </si>
  <si>
    <t>포항시</t>
  </si>
  <si>
    <t>광산구</t>
  </si>
  <si>
    <t>중구</t>
  </si>
  <si>
    <t>종로구</t>
  </si>
  <si>
    <t>조치원읍</t>
  </si>
  <si>
    <t>목포시</t>
  </si>
  <si>
    <t>전주시</t>
  </si>
  <si>
    <t>서귀포시</t>
  </si>
  <si>
    <t>천안시</t>
  </si>
  <si>
    <t>경남지역본부</t>
  </si>
  <si>
    <t>(주)거인산업 지에스타워건기</t>
  </si>
  <si>
    <t>소형</t>
  </si>
  <si>
    <t>원주시</t>
  </si>
  <si>
    <t>고양시</t>
  </si>
  <si>
    <t>김해시</t>
  </si>
  <si>
    <t>경주시</t>
  </si>
  <si>
    <t>남구</t>
  </si>
  <si>
    <t>연기면</t>
  </si>
  <si>
    <t>여수시</t>
  </si>
  <si>
    <t>익산시</t>
  </si>
  <si>
    <t>제주시</t>
  </si>
  <si>
    <t>공주시</t>
  </si>
  <si>
    <t>충주시</t>
  </si>
  <si>
    <t>광주전남지역본부</t>
  </si>
  <si>
    <t>(주)건기물산</t>
  </si>
  <si>
    <t>(주)금성백조건설</t>
  </si>
  <si>
    <t>강릉시</t>
  </si>
  <si>
    <t>양산시</t>
  </si>
  <si>
    <t>김천시</t>
  </si>
  <si>
    <t>용산구</t>
  </si>
  <si>
    <t>연동면</t>
  </si>
  <si>
    <t>미추홀구</t>
  </si>
  <si>
    <t>순천시</t>
  </si>
  <si>
    <t>군산시</t>
  </si>
  <si>
    <t>보령시</t>
  </si>
  <si>
    <t>제천시</t>
  </si>
  <si>
    <t>대구경북지역본부</t>
  </si>
  <si>
    <t>동해시</t>
  </si>
  <si>
    <t>진주시</t>
  </si>
  <si>
    <t>안동시</t>
  </si>
  <si>
    <t>영도구</t>
  </si>
  <si>
    <t>성동구</t>
  </si>
  <si>
    <t>부강면</t>
  </si>
  <si>
    <t>북구</t>
  </si>
  <si>
    <t>연수구</t>
  </si>
  <si>
    <t>나주시</t>
  </si>
  <si>
    <t>정읍시</t>
  </si>
  <si>
    <t>아산시</t>
  </si>
  <si>
    <t>보은군</t>
  </si>
  <si>
    <t>대전세종충청지역본부</t>
  </si>
  <si>
    <t>태백시</t>
  </si>
  <si>
    <t>거제시</t>
  </si>
  <si>
    <t>구미시</t>
  </si>
  <si>
    <t>대덕구</t>
  </si>
  <si>
    <t>부산진구</t>
  </si>
  <si>
    <t>광진구</t>
  </si>
  <si>
    <t>금남면</t>
  </si>
  <si>
    <t>울주군</t>
  </si>
  <si>
    <t>남동구</t>
  </si>
  <si>
    <t>광양시</t>
  </si>
  <si>
    <t>남원시</t>
  </si>
  <si>
    <t>서산시</t>
  </si>
  <si>
    <t>옥천군</t>
  </si>
  <si>
    <t>부산지역본부</t>
  </si>
  <si>
    <t>(주)대도종합건설</t>
  </si>
  <si>
    <t>속초시</t>
  </si>
  <si>
    <t>구리시</t>
  </si>
  <si>
    <t>통영시</t>
  </si>
  <si>
    <t>영주시</t>
  </si>
  <si>
    <t>수성구</t>
  </si>
  <si>
    <t>동래구</t>
  </si>
  <si>
    <t>동대문구</t>
  </si>
  <si>
    <t>장군면</t>
  </si>
  <si>
    <t>부평구</t>
  </si>
  <si>
    <t>담양군</t>
  </si>
  <si>
    <t>김제시</t>
  </si>
  <si>
    <t>논산시</t>
  </si>
  <si>
    <t>영동군</t>
  </si>
  <si>
    <t>서울경기북부강원지역본부</t>
  </si>
  <si>
    <t>삼척시</t>
  </si>
  <si>
    <t>사천시</t>
  </si>
  <si>
    <t>영천시</t>
  </si>
  <si>
    <t>달서구</t>
  </si>
  <si>
    <t>중랑구</t>
  </si>
  <si>
    <t>연서면</t>
  </si>
  <si>
    <t>계양구</t>
  </si>
  <si>
    <t>곡성군</t>
  </si>
  <si>
    <t>완주군</t>
  </si>
  <si>
    <t>계룡시</t>
  </si>
  <si>
    <t>증평군</t>
  </si>
  <si>
    <t>인천경기서부지역본부</t>
  </si>
  <si>
    <t>(주)금강서비스(전주)</t>
  </si>
  <si>
    <t>(주)대원</t>
  </si>
  <si>
    <t>홍천군</t>
  </si>
  <si>
    <t>김포시</t>
  </si>
  <si>
    <t>밀양시</t>
  </si>
  <si>
    <t>상주시</t>
  </si>
  <si>
    <t>달성군</t>
  </si>
  <si>
    <t>성북구</t>
  </si>
  <si>
    <t>전의면</t>
  </si>
  <si>
    <t>구례군</t>
  </si>
  <si>
    <t>진안군</t>
  </si>
  <si>
    <t>당진시</t>
  </si>
  <si>
    <t>진천군</t>
  </si>
  <si>
    <t>전북지역지부</t>
  </si>
  <si>
    <t>(주)남산공영</t>
  </si>
  <si>
    <t>(주)도원이엔씨</t>
  </si>
  <si>
    <t>횡성군</t>
  </si>
  <si>
    <t>함안군</t>
  </si>
  <si>
    <t>문경시</t>
  </si>
  <si>
    <t>군위군</t>
  </si>
  <si>
    <t>해운대구</t>
  </si>
  <si>
    <t>강북구</t>
  </si>
  <si>
    <t>전동면</t>
  </si>
  <si>
    <t>영종구</t>
  </si>
  <si>
    <t>고흥군</t>
  </si>
  <si>
    <t>무주군</t>
  </si>
  <si>
    <t>금산군</t>
  </si>
  <si>
    <t>괴산군</t>
  </si>
  <si>
    <t>제주지역지부</t>
  </si>
  <si>
    <t>(주)동양</t>
  </si>
  <si>
    <t>영월군</t>
  </si>
  <si>
    <t>동두천시</t>
  </si>
  <si>
    <t>거창군</t>
  </si>
  <si>
    <t>경산시</t>
  </si>
  <si>
    <t>사하구</t>
  </si>
  <si>
    <t>도봉구</t>
  </si>
  <si>
    <t>소정면</t>
  </si>
  <si>
    <t>서해구</t>
  </si>
  <si>
    <t>보성군</t>
  </si>
  <si>
    <t>장수군</t>
  </si>
  <si>
    <t>부여군</t>
  </si>
  <si>
    <t>음성군</t>
  </si>
  <si>
    <t>(주)대정건설기계</t>
  </si>
  <si>
    <t>(주)동양건설산업</t>
  </si>
  <si>
    <t>평창군</t>
  </si>
  <si>
    <t>부천시</t>
  </si>
  <si>
    <t>창녕군</t>
  </si>
  <si>
    <t>의성군</t>
  </si>
  <si>
    <t>금정구</t>
  </si>
  <si>
    <t>노원구</t>
  </si>
  <si>
    <t>한솔동</t>
  </si>
  <si>
    <t>검단구</t>
  </si>
  <si>
    <t>화순군</t>
  </si>
  <si>
    <t>임실군</t>
  </si>
  <si>
    <t>서천군</t>
  </si>
  <si>
    <t>단양군</t>
  </si>
  <si>
    <t>(주)대정엔지니어링</t>
  </si>
  <si>
    <t>정선군</t>
  </si>
  <si>
    <t>고성군</t>
  </si>
  <si>
    <t>청송군</t>
  </si>
  <si>
    <t>강서구</t>
  </si>
  <si>
    <t>은평구</t>
  </si>
  <si>
    <t>새롬동</t>
  </si>
  <si>
    <t>제물포구</t>
  </si>
  <si>
    <t>장흥군</t>
  </si>
  <si>
    <t>순창군</t>
  </si>
  <si>
    <t>청양군</t>
  </si>
  <si>
    <t>(주)덕산건설산업</t>
  </si>
  <si>
    <t>(주)동일</t>
  </si>
  <si>
    <t>철원군</t>
  </si>
  <si>
    <t>하동군</t>
  </si>
  <si>
    <t>영양군</t>
  </si>
  <si>
    <t>연제구</t>
  </si>
  <si>
    <t>서대문구</t>
  </si>
  <si>
    <t>나성동</t>
  </si>
  <si>
    <t>강화군</t>
  </si>
  <si>
    <t>강진군</t>
  </si>
  <si>
    <t>고창군</t>
  </si>
  <si>
    <t>홍성군</t>
  </si>
  <si>
    <t>(주)동산티씨</t>
  </si>
  <si>
    <t>(주)동일스위트</t>
  </si>
  <si>
    <t>화천군</t>
  </si>
  <si>
    <t>합천군</t>
  </si>
  <si>
    <t>영덕군</t>
  </si>
  <si>
    <t>수영구</t>
  </si>
  <si>
    <t>마포구</t>
  </si>
  <si>
    <t>다정동</t>
  </si>
  <si>
    <t>옹진군</t>
  </si>
  <si>
    <t>해남군</t>
  </si>
  <si>
    <t>부안군</t>
  </si>
  <si>
    <t>예산군</t>
  </si>
  <si>
    <t>(주)동일토건</t>
  </si>
  <si>
    <t>양구군</t>
  </si>
  <si>
    <t>남해군</t>
  </si>
  <si>
    <t>청도군</t>
  </si>
  <si>
    <t>사상구</t>
  </si>
  <si>
    <t>양천구</t>
  </si>
  <si>
    <t>도담동</t>
  </si>
  <si>
    <t>영암군</t>
  </si>
  <si>
    <t>(주)두두인터내셔널</t>
  </si>
  <si>
    <t>(주)두진건설</t>
  </si>
  <si>
    <t>인제군</t>
  </si>
  <si>
    <t>함양군</t>
  </si>
  <si>
    <t>고령군</t>
  </si>
  <si>
    <t>기장군</t>
  </si>
  <si>
    <t>어진동</t>
  </si>
  <si>
    <t>무안군</t>
  </si>
  <si>
    <t>(주)라인건설</t>
  </si>
  <si>
    <t>산청군</t>
  </si>
  <si>
    <t>성주군</t>
  </si>
  <si>
    <t>구로구</t>
  </si>
  <si>
    <t>해밀동</t>
  </si>
  <si>
    <t>함평군</t>
  </si>
  <si>
    <t>(주)보현산업</t>
  </si>
  <si>
    <t>(주)라인산업</t>
  </si>
  <si>
    <t>양양군</t>
  </si>
  <si>
    <t>양주시</t>
  </si>
  <si>
    <t>의령군</t>
  </si>
  <si>
    <t>칠곡군</t>
  </si>
  <si>
    <t>금천구</t>
  </si>
  <si>
    <t>아름동</t>
  </si>
  <si>
    <t>영광군</t>
  </si>
  <si>
    <t>(주)모아종합건설</t>
  </si>
  <si>
    <t>에천군</t>
  </si>
  <si>
    <t>종촌동</t>
  </si>
  <si>
    <t>장성군</t>
  </si>
  <si>
    <t>(주)성지타워크레인</t>
  </si>
  <si>
    <t>(주)모아주택산업</t>
  </si>
  <si>
    <t>봉화군</t>
  </si>
  <si>
    <t>동작구</t>
  </si>
  <si>
    <t>고운동</t>
  </si>
  <si>
    <t>완도군</t>
  </si>
  <si>
    <t>연천군</t>
  </si>
  <si>
    <t>울진군</t>
  </si>
  <si>
    <t>관악구</t>
  </si>
  <si>
    <t>보람동</t>
  </si>
  <si>
    <t>진도군</t>
  </si>
  <si>
    <t>(주)반도건설</t>
  </si>
  <si>
    <t>울릉군</t>
  </si>
  <si>
    <t>대평동</t>
  </si>
  <si>
    <t>신안군</t>
  </si>
  <si>
    <t>(주)아산건기</t>
  </si>
  <si>
    <t>강남구</t>
  </si>
  <si>
    <t>소담동</t>
  </si>
  <si>
    <t>(주)부강건설</t>
  </si>
  <si>
    <t>송파구</t>
  </si>
  <si>
    <t>반곡동</t>
  </si>
  <si>
    <t>(주)에스엠타워</t>
  </si>
  <si>
    <t>(주)부영주택</t>
  </si>
  <si>
    <t>의정부시</t>
  </si>
  <si>
    <t>강동구</t>
  </si>
  <si>
    <t>(주)에이스타워</t>
  </si>
  <si>
    <t>(주)엔에프시</t>
  </si>
  <si>
    <t>(주)삼정</t>
  </si>
  <si>
    <t>파주시</t>
  </si>
  <si>
    <t>(주)엘에스타워</t>
  </si>
  <si>
    <t>(주)삼한종합건설</t>
  </si>
  <si>
    <t>(주)연성타워</t>
  </si>
  <si>
    <t>(주)서진건설</t>
  </si>
  <si>
    <t>포천시</t>
  </si>
  <si>
    <t>(주)서한</t>
  </si>
  <si>
    <t>하남시</t>
  </si>
  <si>
    <t>(주)서해종합건설</t>
  </si>
  <si>
    <t>(주)성도이엔지</t>
  </si>
  <si>
    <t>(주)웅진타워</t>
  </si>
  <si>
    <t>(주)성화종합건설</t>
  </si>
  <si>
    <t>(주)시티건설</t>
  </si>
  <si>
    <t>(주)이황산업</t>
  </si>
  <si>
    <t>(주)신영씨앤디</t>
  </si>
  <si>
    <t>(주)신화종합건설</t>
  </si>
  <si>
    <t>(주)정석타워</t>
  </si>
  <si>
    <t>(주)에이치제이중공업</t>
  </si>
  <si>
    <t>(주)영무건설</t>
  </si>
  <si>
    <t>(주)제이에스글로벌산업</t>
  </si>
  <si>
    <t>(주)우남건설</t>
  </si>
  <si>
    <t>(주)우미개발</t>
  </si>
  <si>
    <t>(주)준경타워</t>
  </si>
  <si>
    <t>(주)우방(SM)</t>
  </si>
  <si>
    <t>(주)원건설</t>
  </si>
  <si>
    <t>(주)지유기건</t>
  </si>
  <si>
    <t>(주)유림이앤씨</t>
  </si>
  <si>
    <t>(주)유승건설</t>
  </si>
  <si>
    <t>(주)유승종합건설</t>
  </si>
  <si>
    <t>(주)이랜드건설</t>
  </si>
  <si>
    <t>(주)타워존</t>
  </si>
  <si>
    <t>(주)이스트씨에이</t>
  </si>
  <si>
    <t>(주)토성타워</t>
  </si>
  <si>
    <t>(주)일우종합건설</t>
  </si>
  <si>
    <t>(주)한미렌탈</t>
  </si>
  <si>
    <t>(주)청보종합건설</t>
  </si>
  <si>
    <t>(주)케이씨씨건설</t>
  </si>
  <si>
    <t>(주)한성정공</t>
  </si>
  <si>
    <t>(주)케이알산업</t>
  </si>
  <si>
    <t>갑신렌탈(주)</t>
  </si>
  <si>
    <t>(주)티케이케미칼</t>
  </si>
  <si>
    <t>거산타워주식회사</t>
  </si>
  <si>
    <t>건기사업주식회사</t>
  </si>
  <si>
    <t>(주)한양건설</t>
  </si>
  <si>
    <t>건우중건설기계(주)</t>
  </si>
  <si>
    <t>(주)한화</t>
  </si>
  <si>
    <t>경신산업</t>
  </si>
  <si>
    <t>고려개발(주)</t>
  </si>
  <si>
    <t>(주)협성건설</t>
  </si>
  <si>
    <t>공승기업 주식회사</t>
  </si>
  <si>
    <t>(주)호반건설</t>
  </si>
  <si>
    <t>광진타워</t>
  </si>
  <si>
    <t>(주)호반산업</t>
  </si>
  <si>
    <t>(주)흥화</t>
  </si>
  <si>
    <t>굿모닝산업주식회사</t>
  </si>
  <si>
    <t>그랜드타워(주)</t>
  </si>
  <si>
    <t>금원에스엔티(S&amp;T)</t>
  </si>
  <si>
    <t>경동건설(주)</t>
  </si>
  <si>
    <t>기동타워(주)</t>
  </si>
  <si>
    <t>계성건설(주)</t>
  </si>
  <si>
    <t>다올이앤씨(주)</t>
  </si>
  <si>
    <t>대산타워</t>
  </si>
  <si>
    <t>대영렌탈(주)</t>
  </si>
  <si>
    <t>금강종합건설(주)</t>
  </si>
  <si>
    <t>금광기업(주)</t>
  </si>
  <si>
    <t>동방타워</t>
  </si>
  <si>
    <t>동백타워</t>
  </si>
  <si>
    <t>남광토건(주)</t>
  </si>
  <si>
    <t>명진타워렌탈</t>
  </si>
  <si>
    <t>남양건설(주)</t>
  </si>
  <si>
    <t>미래기업(주)</t>
  </si>
  <si>
    <t>남해종합개발(주)</t>
  </si>
  <si>
    <t>남해종합건설(주)</t>
  </si>
  <si>
    <t>부광건기</t>
  </si>
  <si>
    <t>남화토건(주)</t>
  </si>
  <si>
    <t>부산울산경남타워크레인(주)</t>
  </si>
  <si>
    <t>부일타워</t>
  </si>
  <si>
    <t>다우건설(주)</t>
  </si>
  <si>
    <t>삼산타워</t>
  </si>
  <si>
    <t>대라수건설(주)</t>
  </si>
  <si>
    <t>새움인프라 주식회사</t>
  </si>
  <si>
    <t>서광타워크레인 주식회사</t>
  </si>
  <si>
    <t>서울타워크레인이엔씨</t>
  </si>
  <si>
    <t>대보건설(주)</t>
  </si>
  <si>
    <t>서울티씨</t>
  </si>
  <si>
    <t>대상건설(주)</t>
  </si>
  <si>
    <t>성호렌탈</t>
  </si>
  <si>
    <t>대성건설(주)</t>
  </si>
  <si>
    <t>세기타워</t>
  </si>
  <si>
    <t>대우산업개발(주)</t>
  </si>
  <si>
    <t>세일기계(주)</t>
  </si>
  <si>
    <t>덕진토건(주)</t>
  </si>
  <si>
    <t>수서씨엠주식회사</t>
  </si>
  <si>
    <t>동광종합토건(주)</t>
  </si>
  <si>
    <t>수연렌탈</t>
  </si>
  <si>
    <t>동문건설(주)</t>
  </si>
  <si>
    <t>시온개발</t>
  </si>
  <si>
    <t>동아건설산업(주)</t>
  </si>
  <si>
    <t>신우씨엠</t>
  </si>
  <si>
    <t>신우씨엠(주)</t>
  </si>
  <si>
    <t>에이치티에스(주)</t>
  </si>
  <si>
    <t>디에스종합건설(주)</t>
  </si>
  <si>
    <t>우인건기 주식회사</t>
  </si>
  <si>
    <t>디엘건설(주)</t>
  </si>
  <si>
    <t>위너건설주식회사</t>
  </si>
  <si>
    <t>인티씨</t>
  </si>
  <si>
    <t>일신타워렌탈 주식회사</t>
  </si>
  <si>
    <t>정현타워</t>
  </si>
  <si>
    <t>명헌건설(주)</t>
  </si>
  <si>
    <t>반도건설(주)</t>
  </si>
  <si>
    <t>보광종합건설(주)</t>
  </si>
  <si>
    <t>삼부토건(주)</t>
  </si>
  <si>
    <t>주식회사 대교산업</t>
  </si>
  <si>
    <t>주식회사 도경타워</t>
  </si>
  <si>
    <t>주식회사 문원타워</t>
  </si>
  <si>
    <t>삼정건설(주)</t>
  </si>
  <si>
    <t>석미건설(주)</t>
  </si>
  <si>
    <t>선원건설(주)</t>
  </si>
  <si>
    <t>선유건설(주)</t>
  </si>
  <si>
    <t>성도이엔지(주)</t>
  </si>
  <si>
    <t>성보건설산업(주)</t>
  </si>
  <si>
    <t>주식회사 장안</t>
  </si>
  <si>
    <t>세영건설(주)</t>
  </si>
  <si>
    <t>주식회사 장안건설기계</t>
  </si>
  <si>
    <t>세움종합건설(주)</t>
  </si>
  <si>
    <t>주식회사 필웍스</t>
  </si>
  <si>
    <t>신동아건설(주)</t>
  </si>
  <si>
    <t>주식회사 한국티씨</t>
  </si>
  <si>
    <t>신세계건설(주)</t>
  </si>
  <si>
    <t>신원종합개발(주)</t>
  </si>
  <si>
    <t>씨제이대한통운(주)</t>
  </si>
  <si>
    <t>아이에스동서(주)</t>
  </si>
  <si>
    <t>주식회사금강티에스</t>
  </si>
  <si>
    <t>주식회사도원타워</t>
  </si>
  <si>
    <t>주식회사스타티씨렌탈</t>
  </si>
  <si>
    <t>에스엠자산개발(주)</t>
  </si>
  <si>
    <t>주현타워산업(주)</t>
  </si>
  <si>
    <t>에스케이건설(주)</t>
  </si>
  <si>
    <t>코리아인터내셔날</t>
  </si>
  <si>
    <t>타워크레인연합</t>
  </si>
  <si>
    <t>에이스건설(주)</t>
  </si>
  <si>
    <t>태성타워산업</t>
  </si>
  <si>
    <t>에이치에스화성(주)</t>
  </si>
  <si>
    <t>티제이서비스주식회사</t>
  </si>
  <si>
    <t>엔에스종합건설(주)</t>
  </si>
  <si>
    <t>한국타워주식회사</t>
  </si>
  <si>
    <t>엘림종합건설(주)</t>
  </si>
  <si>
    <t>한라건기</t>
  </si>
  <si>
    <t>엘티삼보(주)</t>
  </si>
  <si>
    <t>한영타워</t>
  </si>
  <si>
    <t>영진종합건설(주)</t>
  </si>
  <si>
    <t>흥화중건설기계(주)</t>
  </si>
  <si>
    <t>요진건설산업(주)</t>
  </si>
  <si>
    <t>이진종합건설(주)</t>
  </si>
  <si>
    <t>인덕건설(주)</t>
  </si>
  <si>
    <t>일성건설(주)</t>
  </si>
  <si>
    <t>일신건영(주)</t>
  </si>
  <si>
    <t>자이씨앤에이(주)</t>
  </si>
  <si>
    <t>자이에스앤디(주)</t>
  </si>
  <si>
    <t>제일건설(주)</t>
  </si>
  <si>
    <t>주식회사 브리온건설</t>
  </si>
  <si>
    <t>준영건설(주)</t>
  </si>
  <si>
    <t>중흥건설(주)</t>
  </si>
  <si>
    <t>중흥토건(주)</t>
  </si>
  <si>
    <t>지에스이앤씨(주)</t>
  </si>
  <si>
    <t>지에이건설(주)</t>
  </si>
  <si>
    <t>지원건설(주)</t>
  </si>
  <si>
    <t>파인건설(주)</t>
  </si>
  <si>
    <t>풍림산업(주)</t>
  </si>
  <si>
    <t>한국건설(주)</t>
  </si>
  <si>
    <t>한동산업주식회사</t>
  </si>
  <si>
    <t>한양산업개발(주)</t>
  </si>
  <si>
    <t>혜림건설(주)</t>
  </si>
  <si>
    <t>혜움건설(주)</t>
  </si>
  <si>
    <t>흥한주택종합건설(주)</t>
  </si>
  <si>
    <t>희상건설(주)</t>
  </si>
  <si>
    <t>주식회사 까뮤이앤씨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</si>
</sst>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3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9C0006"/>
      <name val="맑은 고딕"/>
      <family val="3"/>
      <charset val="129"/>
    </font>
    <font>
      <sz val="9"/>
      <color rgb="FF9C65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rgb="FFFFFFFF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0"/>
      <name val="Noto Sans CJK SC"/>
      <family val="2"/>
    </font>
    <font>
      <sz val="10"/>
      <name val="Arial"/>
      <family val="2"/>
    </font>
    <font>
      <b/>
      <sz val="13"/>
      <color rgb="FFFFFFFF"/>
      <name val="Noto Sans CJK SC"/>
      <family val="3"/>
      <charset val="129"/>
    </font>
    <font>
      <i/>
      <sz val="10"/>
      <color rgb="FF999999"/>
      <name val="Arial"/>
      <family val="2"/>
    </font>
    <font>
      <i/>
      <sz val="10"/>
      <color rgb="FF999999"/>
      <name val="Noto Sans CJK SC"/>
      <family val="2"/>
    </font>
    <font>
      <sz val="10"/>
      <color rgb="FFB45309"/>
      <name val="Noto Sans CJK SC"/>
      <family val="2"/>
    </font>
    <font>
      <b/>
      <sz val="14"/>
      <color rgb="FFFFFFFF"/>
      <name val="Noto Sans CJK SC"/>
      <family val="3"/>
      <charset val="129"/>
    </font>
    <font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A5276"/>
        <bgColor rgb="FF1A5276"/>
      </patternFill>
    </fill>
    <fill>
      <patternFill patternType="solid">
        <fgColor rgb="FFF5F7FA"/>
        <bgColor rgb="FFF5F7FA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EB9C"/>
      </patternFill>
    </fill>
    <fill>
      <patternFill patternType="solid">
        <fgColor rgb="FF1F2D3D"/>
        <bgColor rgb="FF003366"/>
      </patternFill>
    </fill>
    <fill>
      <patternFill patternType="solid">
        <fgColor rgb="FF3B6EA5"/>
        <bgColor rgb="FF4A9168"/>
      </patternFill>
    </fill>
    <fill>
      <patternFill patternType="solid">
        <fgColor rgb="FFB5483D"/>
        <bgColor rgb="FFB45309"/>
      </patternFill>
    </fill>
    <fill>
      <patternFill patternType="solid">
        <fgColor rgb="FF8A5FA8"/>
        <bgColor rgb="FF7A8389"/>
      </patternFill>
    </fill>
    <fill>
      <patternFill patternType="solid">
        <fgColor rgb="FFC97A2E"/>
        <bgColor rgb="FFB45309"/>
      </patternFill>
    </fill>
    <fill>
      <patternFill patternType="solid">
        <fgColor rgb="FF7A8389"/>
        <bgColor rgb="FF999999"/>
      </patternFill>
    </fill>
    <fill>
      <patternFill patternType="solid">
        <fgColor rgb="FF4A9168"/>
        <bgColor rgb="FF7A8389"/>
      </patternFill>
    </fill>
    <fill>
      <patternFill patternType="solid">
        <fgColor rgb="FFF8FAFC"/>
        <bgColor rgb="FFFFFFFF"/>
      </patternFill>
    </fill>
    <fill>
      <patternFill patternType="solid">
        <fgColor rgb="FFEFF3F8"/>
        <bgColor rgb="FFF8FAF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4" fillId="0" borderId="0">
      <alignment vertical="center"/>
    </xf>
    <xf numFmtId="0" fontId="11" fillId="0" borderId="0">
      <alignment vertical="center"/>
    </xf>
  </cellStyleXfs>
  <cellXfs count="6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1" xfId="4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9" fontId="5" fillId="0" borderId="0" xfId="0" applyNumberFormat="1" applyFont="1" applyAlignment="1"/>
    <xf numFmtId="0" fontId="6" fillId="16" borderId="4" xfId="0" applyFont="1" applyFill="1" applyBorder="1" applyAlignment="1">
      <alignment horizontal="center" vertical="center" wrapText="1"/>
    </xf>
    <xf numFmtId="9" fontId="5" fillId="0" borderId="0" xfId="0" applyNumberFormat="1" applyFont="1" applyAlignment="1">
      <alignment vertical="center"/>
    </xf>
    <xf numFmtId="0" fontId="17" fillId="10" borderId="0" xfId="0" applyFont="1" applyFill="1" applyAlignment="1">
      <alignment horizontal="center" vertical="center" wrapText="1"/>
    </xf>
    <xf numFmtId="0" fontId="0" fillId="0" borderId="0" xfId="0" applyAlignment="1"/>
    <xf numFmtId="176" fontId="16" fillId="17" borderId="4" xfId="0" applyNumberFormat="1" applyFont="1" applyFill="1" applyBorder="1" applyAlignment="1">
      <alignment horizontal="center" vertical="center" wrapText="1"/>
    </xf>
    <xf numFmtId="176" fontId="22" fillId="17" borderId="4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/>
    </xf>
    <xf numFmtId="176" fontId="16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horizontal="center" vertical="center"/>
    </xf>
    <xf numFmtId="0" fontId="0" fillId="0" borderId="2" xfId="0" applyBorder="1" applyAlignment="1"/>
    <xf numFmtId="0" fontId="21" fillId="10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7" fillId="10" borderId="0" xfId="0" applyFont="1" applyFill="1" applyAlignment="1">
      <alignment horizontal="center" vertical="center" wrapText="1"/>
    </xf>
  </cellXfs>
  <cellStyles count="5">
    <cellStyle name="표준" xfId="0" builtinId="0"/>
    <cellStyle name="표준 2 7" xfId="1" xr:uid="{00000000-0005-0000-0000-000001000000}"/>
    <cellStyle name="표준 3" xfId="2" xr:uid="{00000000-0005-0000-0000-000002000000}"/>
    <cellStyle name="표준 5" xfId="3" xr:uid="{00000000-0005-0000-0000-000003000000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insuck.lee@daewooenc.com" TargetMode="External" /><Relationship Id="rId1" Type="http://schemas.openxmlformats.org/officeDocument/2006/relationships/hyperlink" Target="mailto:tdragon77@nat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330"/>
  <sheetViews>
    <sheetView tabSelected="1" zoomScale="90" zoomScaleNormal="90" workbookViewId="0">
      <pane xSplit="3" ySplit="3" topLeftCell="AH168" activePane="bottomRight" state="frozen"/>
      <selection pane="bottomLeft" activeCell="A4" sqref="A4"/>
      <selection pane="topRight" activeCell="D1" sqref="D1"/>
      <selection pane="bottomRight" activeCell="A171" sqref="A171:XFD171"/>
    </sheetView>
  </sheetViews>
  <sheetFormatPr defaultRowHeight="16.5" x14ac:dyDescent="0.25"/>
  <cols>
    <col min="1" max="1" width="9.03515625" style="6" customWidth="1"/>
    <col min="2" max="2" width="25.74609375" style="6" customWidth="1"/>
    <col min="3" max="4" width="8.7890625" style="6" customWidth="1"/>
    <col min="5" max="5" width="18.3203125" style="6" bestFit="1" customWidth="1"/>
    <col min="6" max="6" width="4.94921875" style="6" customWidth="1"/>
    <col min="7" max="7" width="14.48046875" style="47" customWidth="1"/>
    <col min="8" max="8" width="14.48046875" style="6" customWidth="1"/>
    <col min="9" max="9" width="77.86328125" style="6" customWidth="1"/>
    <col min="10" max="11" width="27.7265625" style="6" customWidth="1"/>
    <col min="12" max="12" width="52.23828125" style="6" customWidth="1"/>
    <col min="13" max="13" width="17.08203125" style="6" customWidth="1"/>
    <col min="14" max="16" width="16.21484375" style="6" customWidth="1"/>
    <col min="17" max="17" width="50.3828125" style="6" bestFit="1" customWidth="1"/>
    <col min="18" max="19" width="12.25390625" style="7" customWidth="1"/>
    <col min="20" max="21" width="8.7890625" style="6" customWidth="1"/>
    <col min="22" max="22" width="10.890625" style="7" customWidth="1"/>
    <col min="23" max="23" width="11.26171875" style="47" bestFit="1" customWidth="1"/>
    <col min="24" max="24" width="25.00390625" style="6" bestFit="1" customWidth="1"/>
    <col min="25" max="25" width="19.1875" style="6" customWidth="1"/>
  </cols>
  <sheetData>
    <row r="1" spans="1:35" x14ac:dyDescent="0.25">
      <c r="A1" s="52" t="s">
        <v>0</v>
      </c>
      <c r="B1" s="53"/>
      <c r="C1" s="53"/>
      <c r="D1" s="53"/>
      <c r="E1" s="53"/>
      <c r="F1" s="53"/>
      <c r="G1" s="54"/>
      <c r="H1" s="53"/>
      <c r="I1" s="53"/>
      <c r="J1" s="53"/>
      <c r="K1" s="53"/>
      <c r="L1" s="53"/>
      <c r="M1" s="53"/>
      <c r="N1" s="53"/>
      <c r="O1" s="53"/>
      <c r="P1" s="53"/>
      <c r="Q1" s="53"/>
      <c r="R1" s="55"/>
      <c r="S1" s="55"/>
      <c r="T1" s="53"/>
      <c r="U1" s="53"/>
      <c r="V1" s="55"/>
      <c r="W1" s="54"/>
    </row>
    <row r="2" spans="1:35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35" ht="30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8</v>
      </c>
      <c r="P3" s="1" t="s">
        <v>15</v>
      </c>
      <c r="Q3" s="1" t="s">
        <v>9</v>
      </c>
      <c r="R3" s="2" t="s">
        <v>16</v>
      </c>
      <c r="S3" s="2" t="s">
        <v>17</v>
      </c>
      <c r="T3" s="1" t="s">
        <v>18</v>
      </c>
      <c r="U3" s="1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12" t="s">
        <v>24</v>
      </c>
      <c r="AA3" s="12" t="s">
        <v>25</v>
      </c>
      <c r="AB3" s="12" t="s">
        <v>26</v>
      </c>
      <c r="AC3" s="12" t="s">
        <v>27</v>
      </c>
      <c r="AD3" s="12" t="s">
        <v>28</v>
      </c>
      <c r="AE3" s="12" t="s">
        <v>29</v>
      </c>
      <c r="AF3" s="12" t="s">
        <v>30</v>
      </c>
      <c r="AG3" s="12" t="s">
        <v>31</v>
      </c>
      <c r="AH3" s="12"/>
      <c r="AI3" s="12" t="s">
        <v>32</v>
      </c>
    </row>
    <row r="4" spans="1:35" ht="19.899999999999999" customHeight="1" x14ac:dyDescent="0.25">
      <c r="A4" s="5">
        <v>1</v>
      </c>
      <c r="B4" s="5" t="s">
        <v>33</v>
      </c>
      <c r="C4" s="5" t="s">
        <v>34</v>
      </c>
      <c r="D4" s="5" t="s">
        <v>35</v>
      </c>
      <c r="E4" s="5">
        <v>19940125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38</v>
      </c>
      <c r="P4" s="5" t="s">
        <v>45</v>
      </c>
      <c r="Q4" s="5" t="s">
        <v>46</v>
      </c>
      <c r="R4" s="4">
        <v>46144</v>
      </c>
      <c r="S4" s="4">
        <v>45560</v>
      </c>
      <c r="T4" s="5" t="str">
        <f>IF(AND(R4="", S4=""), "대기자", IF(AND(R4&lt;&gt;"", S4=""), "취업 중", IF(AND(R4="", S4&lt;&gt;""), "대기자", IF(R4=S4, "", IF(R4 &lt; S4, "대기자", "취업 중")))))</f>
        <v>취업 중</v>
      </c>
      <c r="U4" s="5" t="str">
        <f>IF(J4=""," ",IF(ISNUMBER(SEARCH("소형",J4)),"소형","대형"))</f>
        <v>대형</v>
      </c>
      <c r="V4" s="4">
        <v>44564</v>
      </c>
      <c r="W4" s="5"/>
      <c r="X4" s="5"/>
      <c r="Y4" s="5"/>
      <c r="Z4" s="13" t="s">
        <v>47</v>
      </c>
      <c r="AA4" s="13" t="s">
        <v>48</v>
      </c>
      <c r="AB4" s="13" t="s">
        <v>49</v>
      </c>
      <c r="AC4" s="13" t="s">
        <v>48</v>
      </c>
      <c r="AD4" s="13" t="s">
        <v>50</v>
      </c>
      <c r="AE4" s="14"/>
      <c r="AF4" s="14"/>
      <c r="AG4" s="14"/>
      <c r="AH4" s="14" t="s">
        <v>48</v>
      </c>
      <c r="AI4" s="6"/>
    </row>
    <row r="5" spans="1:35" ht="19.899999999999999" customHeight="1" x14ac:dyDescent="0.25">
      <c r="A5" s="5">
        <v>2</v>
      </c>
      <c r="B5" s="5" t="s">
        <v>33</v>
      </c>
      <c r="C5" s="5" t="s">
        <v>51</v>
      </c>
      <c r="D5" s="5" t="s">
        <v>35</v>
      </c>
      <c r="E5" s="5">
        <v>19691218</v>
      </c>
      <c r="F5" s="5" t="s">
        <v>52</v>
      </c>
      <c r="G5" s="5" t="s">
        <v>53</v>
      </c>
      <c r="H5" s="5" t="s">
        <v>38</v>
      </c>
      <c r="I5" s="5" t="s">
        <v>54</v>
      </c>
      <c r="J5" s="5"/>
      <c r="K5" s="5"/>
      <c r="L5" s="5"/>
      <c r="M5" s="5"/>
      <c r="N5" s="5"/>
      <c r="O5" s="5"/>
      <c r="P5" s="5"/>
      <c r="Q5" s="5"/>
      <c r="R5" s="4">
        <v>45530</v>
      </c>
      <c r="S5" s="4">
        <v>45911</v>
      </c>
      <c r="T5" s="5" t="str">
        <f>IF(AND(R5="", S5=""), "대기자", IF(AND(R5&lt;&gt;"", S5=""), "취업 중", IF(AND(R5="", S5&lt;&gt;""), "대기자", IF(R5=S5, "", IF(R5 &lt; S5, "대기자", "취업 중")))))</f>
        <v>대기자</v>
      </c>
      <c r="U5" s="5" t="str">
        <f>IF(J5=""," ",IF(ISNUMBER(SEARCH("소형",J5)),"소형","대형"))</f>
        <v xml:space="preserve"> </v>
      </c>
      <c r="V5" s="4">
        <v>42455</v>
      </c>
      <c r="W5" s="5"/>
      <c r="X5" s="5"/>
      <c r="Y5" s="5"/>
      <c r="Z5" s="13"/>
      <c r="AA5" s="13"/>
      <c r="AB5" s="13"/>
      <c r="AC5" s="13"/>
      <c r="AD5" s="13"/>
      <c r="AE5" s="15"/>
      <c r="AF5" s="15"/>
      <c r="AG5" s="15"/>
      <c r="AH5" s="15"/>
      <c r="AI5" s="6"/>
    </row>
    <row r="6" spans="1:35" ht="19.899999999999999" customHeight="1" x14ac:dyDescent="0.25">
      <c r="A6" s="5">
        <v>3</v>
      </c>
      <c r="B6" s="5" t="s">
        <v>33</v>
      </c>
      <c r="C6" s="5" t="s">
        <v>55</v>
      </c>
      <c r="D6" s="5" t="s">
        <v>56</v>
      </c>
      <c r="E6" s="5">
        <v>19690429</v>
      </c>
      <c r="F6" s="5" t="s">
        <v>36</v>
      </c>
      <c r="G6" s="5" t="s">
        <v>57</v>
      </c>
      <c r="H6" s="5" t="s">
        <v>38</v>
      </c>
      <c r="I6" s="5" t="s">
        <v>58</v>
      </c>
      <c r="J6" s="5" t="s">
        <v>59</v>
      </c>
      <c r="K6" s="5" t="s">
        <v>60</v>
      </c>
      <c r="L6" s="5" t="s">
        <v>61</v>
      </c>
      <c r="M6" s="5" t="s">
        <v>62</v>
      </c>
      <c r="N6" s="5" t="s">
        <v>63</v>
      </c>
      <c r="O6" s="5" t="s">
        <v>38</v>
      </c>
      <c r="P6" s="5" t="s">
        <v>64</v>
      </c>
      <c r="Q6" s="5" t="s">
        <v>65</v>
      </c>
      <c r="R6" s="4">
        <v>46156</v>
      </c>
      <c r="S6" s="4">
        <v>45986</v>
      </c>
      <c r="T6" s="5" t="str">
        <f>IF(AND(R6="", S6=""), "대기자", IF(AND(R6&lt;&gt;"", S6=""), "취업 중", IF(AND(R6="", S6&lt;&gt;""), "대기자", IF(R6=S6, "", IF(R6 &lt; S6, "대기자", "취업 중")))))</f>
        <v>취업 중</v>
      </c>
      <c r="U6" s="5" t="str">
        <f>IF(J6=""," ",IF(ISNUMBER(SEARCH("소형",J6)),"소형","대형"))</f>
        <v>대형</v>
      </c>
      <c r="V6" s="4">
        <v>40219</v>
      </c>
      <c r="W6" s="5"/>
      <c r="X6" s="5"/>
      <c r="Y6" s="5"/>
      <c r="Z6" s="13">
        <v>27</v>
      </c>
      <c r="AA6" s="13">
        <v>12</v>
      </c>
      <c r="AB6" s="13">
        <v>12</v>
      </c>
      <c r="AC6" s="13">
        <v>1</v>
      </c>
      <c r="AD6" s="13">
        <v>2</v>
      </c>
      <c r="AE6" s="14"/>
      <c r="AF6" s="14"/>
      <c r="AG6" s="14"/>
      <c r="AH6" s="14" t="s">
        <v>49</v>
      </c>
      <c r="AI6" s="6"/>
    </row>
    <row r="7" spans="1:35" ht="19.899999999999999" customHeight="1" x14ac:dyDescent="0.25">
      <c r="A7" s="5">
        <v>4</v>
      </c>
      <c r="B7" s="5" t="s">
        <v>33</v>
      </c>
      <c r="C7" s="5" t="s">
        <v>66</v>
      </c>
      <c r="D7" s="5" t="s">
        <v>67</v>
      </c>
      <c r="E7" s="5">
        <v>19720420</v>
      </c>
      <c r="F7" s="5" t="s">
        <v>36</v>
      </c>
      <c r="G7" s="5" t="s">
        <v>68</v>
      </c>
      <c r="H7" s="5" t="s">
        <v>38</v>
      </c>
      <c r="I7" s="5" t="s">
        <v>69</v>
      </c>
      <c r="J7" s="5"/>
      <c r="K7" s="5"/>
      <c r="L7" s="5"/>
      <c r="M7" s="5"/>
      <c r="N7" s="5"/>
      <c r="O7" s="5"/>
      <c r="P7" s="5"/>
      <c r="Q7" s="5"/>
      <c r="R7" s="4">
        <v>46028</v>
      </c>
      <c r="S7" s="4">
        <v>46267</v>
      </c>
      <c r="T7" s="5" t="str">
        <f>IF(AND(R7="", S7=""), "대기자", IF(AND(R7&lt;&gt;"", S7=""), "취업 중", IF(AND(R7="", S7&lt;&gt;""), "대기자", IF(R7=S7, "", IF(R7 &lt; S7, "대기자", "취업 중")))))</f>
        <v>대기자</v>
      </c>
      <c r="U7" s="5" t="str">
        <f>IF(J7=""," ",IF(ISNUMBER(SEARCH("소형",J7)),"소형","대형"))</f>
        <v xml:space="preserve"> </v>
      </c>
      <c r="V7" s="4">
        <v>42126</v>
      </c>
      <c r="W7" s="5"/>
      <c r="X7" s="5"/>
      <c r="Y7" s="5"/>
      <c r="Z7" s="13"/>
      <c r="AA7" s="13"/>
      <c r="AB7" s="13"/>
      <c r="AC7" s="13"/>
      <c r="AD7" s="13"/>
      <c r="AE7" s="15"/>
      <c r="AF7" s="15"/>
      <c r="AG7" s="15"/>
      <c r="AH7" s="15" t="s">
        <v>70</v>
      </c>
      <c r="AI7" s="6"/>
    </row>
    <row r="8" spans="1:35" ht="19.899999999999999" customHeight="1" x14ac:dyDescent="0.25">
      <c r="A8" s="5">
        <v>5</v>
      </c>
      <c r="B8" s="5" t="s">
        <v>33</v>
      </c>
      <c r="C8" s="5" t="s">
        <v>71</v>
      </c>
      <c r="D8" s="5" t="s">
        <v>72</v>
      </c>
      <c r="E8" s="5">
        <v>19790313</v>
      </c>
      <c r="F8" s="5" t="s">
        <v>36</v>
      </c>
      <c r="G8" s="5" t="s">
        <v>73</v>
      </c>
      <c r="H8" s="5" t="s">
        <v>38</v>
      </c>
      <c r="I8" s="5" t="s">
        <v>74</v>
      </c>
      <c r="J8" s="5" t="s">
        <v>75</v>
      </c>
      <c r="K8" s="5" t="s">
        <v>76</v>
      </c>
      <c r="L8" s="5" t="s">
        <v>77</v>
      </c>
      <c r="M8" s="5" t="s">
        <v>78</v>
      </c>
      <c r="N8" s="5" t="s">
        <v>79</v>
      </c>
      <c r="O8" s="5" t="s">
        <v>38</v>
      </c>
      <c r="P8" s="5" t="s">
        <v>80</v>
      </c>
      <c r="Q8" s="5" t="s">
        <v>81</v>
      </c>
      <c r="R8" s="4">
        <v>46006</v>
      </c>
      <c r="S8" s="4">
        <v>45407</v>
      </c>
      <c r="T8" s="5" t="str">
        <f>IF(AND(R8="", S8=""), "대기자", IF(AND(R8&lt;&gt;"", S8=""), "취업 중", IF(AND(R8="", S8&lt;&gt;""), "대기자", IF(R8=S8, "", IF(R8 &lt; S8, "대기자", "취업 중")))))</f>
        <v>취업 중</v>
      </c>
      <c r="U8" s="5" t="str">
        <f>IF(J8=""," ",IF(ISNUMBER(SEARCH("소형",J8)),"소형","대형"))</f>
        <v>대형</v>
      </c>
      <c r="V8" s="4">
        <v>40654</v>
      </c>
      <c r="W8" s="5"/>
      <c r="X8" s="5"/>
      <c r="Y8" s="5"/>
      <c r="Z8" s="13" t="s">
        <v>82</v>
      </c>
      <c r="AA8" s="13" t="s">
        <v>49</v>
      </c>
      <c r="AB8" s="13" t="s">
        <v>49</v>
      </c>
      <c r="AC8" s="13" t="s">
        <v>48</v>
      </c>
      <c r="AD8" s="13" t="s">
        <v>48</v>
      </c>
      <c r="AE8" s="14"/>
      <c r="AF8" s="14"/>
      <c r="AG8" s="14" t="s">
        <v>83</v>
      </c>
      <c r="AH8" s="14" t="s">
        <v>47</v>
      </c>
      <c r="AI8" s="6"/>
    </row>
    <row r="9" spans="1:35" ht="19.899999999999999" customHeight="1" x14ac:dyDescent="0.25">
      <c r="A9" s="5">
        <v>6</v>
      </c>
      <c r="B9" s="5" t="s">
        <v>33</v>
      </c>
      <c r="C9" s="5" t="s">
        <v>84</v>
      </c>
      <c r="D9" s="5" t="s">
        <v>35</v>
      </c>
      <c r="E9" s="5">
        <v>19730926</v>
      </c>
      <c r="F9" s="5" t="s">
        <v>36</v>
      </c>
      <c r="G9" s="5" t="s">
        <v>85</v>
      </c>
      <c r="H9" s="5" t="s">
        <v>38</v>
      </c>
      <c r="I9" s="5" t="s">
        <v>86</v>
      </c>
      <c r="J9" s="5" t="s">
        <v>87</v>
      </c>
      <c r="K9" s="5" t="s">
        <v>88</v>
      </c>
      <c r="L9" s="5" t="s">
        <v>89</v>
      </c>
      <c r="M9" s="5" t="s">
        <v>90</v>
      </c>
      <c r="N9" s="5" t="s">
        <v>91</v>
      </c>
      <c r="O9" s="5" t="s">
        <v>38</v>
      </c>
      <c r="P9" s="5" t="s">
        <v>92</v>
      </c>
      <c r="Q9" s="5" t="s">
        <v>93</v>
      </c>
      <c r="R9" s="4">
        <v>45628</v>
      </c>
      <c r="S9" s="4">
        <v>45367</v>
      </c>
      <c r="T9" s="5" t="str">
        <f>IF(AND(R9="", S9=""), "대기자", IF(AND(R9&lt;&gt;"", S9=""), "취업 중", IF(AND(R9="", S9&lt;&gt;""), "대기자", IF(R9=S9, "", IF(R9 &lt; S9, "대기자", "취업 중")))))</f>
        <v>취업 중</v>
      </c>
      <c r="U9" s="5" t="str">
        <f>IF(J9=""," ",IF(ISNUMBER(SEARCH("소형",J9)),"소형","대형"))</f>
        <v>대형</v>
      </c>
      <c r="V9" s="4">
        <v>38718</v>
      </c>
      <c r="W9" s="5"/>
      <c r="X9" s="5"/>
      <c r="Y9" s="5"/>
      <c r="Z9" s="13" t="s">
        <v>94</v>
      </c>
      <c r="AA9" s="13" t="s">
        <v>48</v>
      </c>
      <c r="AB9" s="13" t="s">
        <v>49</v>
      </c>
      <c r="AC9" s="13" t="s">
        <v>48</v>
      </c>
      <c r="AD9" s="13" t="s">
        <v>48</v>
      </c>
      <c r="AE9" s="15"/>
      <c r="AF9" s="15"/>
      <c r="AG9" s="15" t="s">
        <v>83</v>
      </c>
      <c r="AH9" s="15" t="s">
        <v>94</v>
      </c>
      <c r="AI9" s="6"/>
    </row>
    <row r="10" spans="1:35" ht="19.899999999999999" customHeight="1" x14ac:dyDescent="0.25">
      <c r="A10" s="5">
        <v>7</v>
      </c>
      <c r="B10" s="5" t="s">
        <v>33</v>
      </c>
      <c r="C10" s="5" t="s">
        <v>95</v>
      </c>
      <c r="D10" s="5" t="s">
        <v>72</v>
      </c>
      <c r="E10" s="5">
        <v>19860301</v>
      </c>
      <c r="F10" s="5" t="s">
        <v>36</v>
      </c>
      <c r="G10" s="5" t="s">
        <v>96</v>
      </c>
      <c r="H10" s="5" t="s">
        <v>38</v>
      </c>
      <c r="I10" s="5" t="s">
        <v>97</v>
      </c>
      <c r="J10" s="5"/>
      <c r="K10" s="5"/>
      <c r="L10" s="5"/>
      <c r="M10" s="5"/>
      <c r="N10" s="5"/>
      <c r="O10" s="5"/>
      <c r="P10" s="5"/>
      <c r="Q10" s="5"/>
      <c r="R10" s="4">
        <v>46132</v>
      </c>
      <c r="S10" s="4">
        <v>46253</v>
      </c>
      <c r="T10" s="5" t="str">
        <f>IF(AND(R10="", S10=""), "대기자", IF(AND(R10&lt;&gt;"", S10=""), "취업 중", IF(AND(R10="", S10&lt;&gt;""), "대기자", IF(R10=S10, "", IF(R10 &lt; S10, "대기자", "취업 중")))))</f>
        <v>대기자</v>
      </c>
      <c r="U10" s="5" t="str">
        <f>IF(J10=""," ",IF(ISNUMBER(SEARCH("소형",J10)),"소형","대형"))</f>
        <v xml:space="preserve"> </v>
      </c>
      <c r="V10" s="4">
        <v>45627</v>
      </c>
      <c r="W10" s="5"/>
      <c r="X10" s="5"/>
      <c r="Y10" s="5"/>
      <c r="Z10" s="13"/>
      <c r="AA10" s="13"/>
      <c r="AB10" s="13"/>
      <c r="AC10" s="13"/>
      <c r="AD10" s="13"/>
      <c r="AE10" s="14"/>
      <c r="AF10" s="14"/>
      <c r="AG10" s="14"/>
      <c r="AH10" s="14"/>
      <c r="AI10" s="6"/>
    </row>
    <row r="11" spans="1:35" ht="19.899999999999999" customHeight="1" x14ac:dyDescent="0.25">
      <c r="A11" s="5">
        <v>8</v>
      </c>
      <c r="B11" s="5" t="s">
        <v>33</v>
      </c>
      <c r="C11" s="5" t="s">
        <v>98</v>
      </c>
      <c r="D11" s="5" t="s">
        <v>99</v>
      </c>
      <c r="E11" s="5">
        <v>19850210</v>
      </c>
      <c r="F11" s="5" t="s">
        <v>36</v>
      </c>
      <c r="G11" s="5" t="s">
        <v>100</v>
      </c>
      <c r="H11" s="5" t="s">
        <v>38</v>
      </c>
      <c r="I11" s="5" t="s">
        <v>101</v>
      </c>
      <c r="J11" s="5" t="s">
        <v>102</v>
      </c>
      <c r="K11" s="5" t="s">
        <v>102</v>
      </c>
      <c r="L11" s="5" t="s">
        <v>103</v>
      </c>
      <c r="M11" s="5" t="s">
        <v>104</v>
      </c>
      <c r="N11" s="5" t="s">
        <v>105</v>
      </c>
      <c r="O11" s="5" t="s">
        <v>38</v>
      </c>
      <c r="P11" s="5" t="s">
        <v>45</v>
      </c>
      <c r="Q11" s="5" t="s">
        <v>106</v>
      </c>
      <c r="R11" s="4">
        <v>46223</v>
      </c>
      <c r="S11" s="4">
        <v>46079</v>
      </c>
      <c r="T11" s="5" t="str">
        <f>IF(AND(R11="", S11=""), "대기자", IF(AND(R11&lt;&gt;"", S11=""), "취업 중", IF(AND(R11="", S11&lt;&gt;""), "대기자", IF(R11=S11, "", IF(R11 &lt; S11, "대기자", "취업 중")))))</f>
        <v>취업 중</v>
      </c>
      <c r="U11" s="5" t="str">
        <f>IF(J11=""," ",IF(ISNUMBER(SEARCH("소형",J11)),"소형","대형"))</f>
        <v>소형</v>
      </c>
      <c r="V11" s="4">
        <v>45796</v>
      </c>
      <c r="W11" s="5"/>
      <c r="X11" s="5" t="s">
        <v>107</v>
      </c>
      <c r="Y11" s="5" t="s">
        <v>108</v>
      </c>
      <c r="Z11" s="13"/>
      <c r="AA11" s="13"/>
      <c r="AB11" s="13"/>
      <c r="AC11" s="13"/>
      <c r="AD11" s="13"/>
      <c r="AE11" s="15"/>
      <c r="AF11" s="15"/>
      <c r="AG11" s="15"/>
      <c r="AH11" s="15"/>
      <c r="AI11" s="6"/>
    </row>
    <row r="12" spans="1:35" ht="19.899999999999999" customHeight="1" x14ac:dyDescent="0.25">
      <c r="A12" s="5">
        <v>9</v>
      </c>
      <c r="B12" s="5" t="s">
        <v>33</v>
      </c>
      <c r="C12" s="5" t="s">
        <v>109</v>
      </c>
      <c r="D12" s="5" t="s">
        <v>35</v>
      </c>
      <c r="E12" s="5">
        <v>19720301</v>
      </c>
      <c r="F12" s="5" t="s">
        <v>36</v>
      </c>
      <c r="G12" s="5" t="s">
        <v>110</v>
      </c>
      <c r="H12" s="5" t="s">
        <v>38</v>
      </c>
      <c r="I12" s="5" t="s">
        <v>111</v>
      </c>
      <c r="J12" s="5" t="s">
        <v>59</v>
      </c>
      <c r="K12" s="5" t="s">
        <v>112</v>
      </c>
      <c r="L12" s="5" t="s">
        <v>113</v>
      </c>
      <c r="M12" s="5" t="s">
        <v>62</v>
      </c>
      <c r="N12" s="5" t="s">
        <v>63</v>
      </c>
      <c r="O12" s="5" t="s">
        <v>38</v>
      </c>
      <c r="P12" s="5" t="s">
        <v>64</v>
      </c>
      <c r="Q12" s="5" t="s">
        <v>65</v>
      </c>
      <c r="R12" s="4">
        <v>46141</v>
      </c>
      <c r="S12" s="4">
        <v>45924</v>
      </c>
      <c r="T12" s="5" t="str">
        <f>IF(AND(R12="", S12=""), "대기자", IF(AND(R12&lt;&gt;"", S12=""), "취업 중", IF(AND(R12="", S12&lt;&gt;""), "대기자", IF(R12=S12, "", IF(R12 &lt; S12, "대기자", "취업 중")))))</f>
        <v>취업 중</v>
      </c>
      <c r="U12" s="5" t="str">
        <f>IF(J12=""," ",IF(ISNUMBER(SEARCH("소형",J12)),"소형","대형"))</f>
        <v>대형</v>
      </c>
      <c r="V12" s="4">
        <v>39083</v>
      </c>
      <c r="W12" s="5"/>
      <c r="X12" s="5"/>
      <c r="Y12" s="5"/>
      <c r="Z12" s="13">
        <v>23</v>
      </c>
      <c r="AA12" s="13">
        <v>10</v>
      </c>
      <c r="AB12" s="13">
        <v>10</v>
      </c>
      <c r="AC12" s="13">
        <v>1</v>
      </c>
      <c r="AD12" s="13">
        <v>2</v>
      </c>
      <c r="AE12" s="14"/>
      <c r="AF12" s="14"/>
      <c r="AG12" s="14"/>
      <c r="AH12" s="14" t="s">
        <v>82</v>
      </c>
      <c r="AI12" s="6"/>
    </row>
    <row r="13" spans="1:35" ht="19.899999999999999" customHeight="1" x14ac:dyDescent="0.25">
      <c r="A13" s="5">
        <v>10</v>
      </c>
      <c r="B13" s="5" t="s">
        <v>33</v>
      </c>
      <c r="C13" s="5" t="s">
        <v>114</v>
      </c>
      <c r="D13" s="5" t="s">
        <v>35</v>
      </c>
      <c r="E13" s="5">
        <v>19680201</v>
      </c>
      <c r="F13" s="5" t="s">
        <v>36</v>
      </c>
      <c r="G13" s="5" t="s">
        <v>115</v>
      </c>
      <c r="H13" s="5" t="s">
        <v>38</v>
      </c>
      <c r="I13" s="5" t="s">
        <v>116</v>
      </c>
      <c r="J13" s="5"/>
      <c r="K13" s="5"/>
      <c r="L13" s="5"/>
      <c r="M13" s="5"/>
      <c r="N13" s="5"/>
      <c r="O13" s="5"/>
      <c r="P13" s="5"/>
      <c r="Q13" s="5"/>
      <c r="R13" s="4">
        <v>45740</v>
      </c>
      <c r="S13" s="4">
        <v>46214</v>
      </c>
      <c r="T13" s="5" t="str">
        <f>IF(AND(R13="", S13=""), "대기자", IF(AND(R13&lt;&gt;"", S13=""), "취업 중", IF(AND(R13="", S13&lt;&gt;""), "대기자", IF(R13=S13, "", IF(R13 &lt; S13, "대기자", "취업 중")))))</f>
        <v>대기자</v>
      </c>
      <c r="U13" s="5" t="str">
        <f>IF(J13=""," ",IF(ISNUMBER(SEARCH("소형",J13)),"소형","대형"))</f>
        <v xml:space="preserve"> </v>
      </c>
      <c r="V13" s="4">
        <v>40671</v>
      </c>
      <c r="W13" s="5"/>
      <c r="X13" s="5"/>
      <c r="Y13" s="5"/>
      <c r="Z13" s="13"/>
      <c r="AA13" s="13"/>
      <c r="AB13" s="13"/>
      <c r="AC13" s="13"/>
      <c r="AD13" s="13"/>
      <c r="AE13" s="15"/>
      <c r="AF13" s="15"/>
      <c r="AG13" s="15" t="s">
        <v>117</v>
      </c>
      <c r="AH13" s="15" t="s">
        <v>118</v>
      </c>
      <c r="AI13" s="6"/>
    </row>
    <row r="14" spans="1:35" ht="19.899999999999999" customHeight="1" x14ac:dyDescent="0.25">
      <c r="A14" s="5">
        <v>11</v>
      </c>
      <c r="B14" s="5" t="s">
        <v>33</v>
      </c>
      <c r="C14" s="5" t="s">
        <v>119</v>
      </c>
      <c r="D14" s="5" t="s">
        <v>56</v>
      </c>
      <c r="E14" s="5">
        <v>19971106</v>
      </c>
      <c r="F14" s="5" t="s">
        <v>36</v>
      </c>
      <c r="G14" s="5" t="s">
        <v>120</v>
      </c>
      <c r="H14" s="5" t="s">
        <v>38</v>
      </c>
      <c r="I14" s="5" t="s">
        <v>121</v>
      </c>
      <c r="J14" s="5"/>
      <c r="K14" s="5"/>
      <c r="L14" s="5"/>
      <c r="M14" s="5"/>
      <c r="N14" s="5"/>
      <c r="O14" s="5"/>
      <c r="P14" s="5"/>
      <c r="Q14" s="5"/>
      <c r="R14" s="4">
        <v>45761</v>
      </c>
      <c r="S14" s="4">
        <v>46219</v>
      </c>
      <c r="T14" s="5" t="str">
        <f>IF(AND(R14="", S14=""), "대기자", IF(AND(R14&lt;&gt;"", S14=""), "취업 중", IF(AND(R14="", S14&lt;&gt;""), "대기자", IF(R14=S14, "", IF(R14 &lt; S14, "대기자", "취업 중")))))</f>
        <v>대기자</v>
      </c>
      <c r="U14" s="5" t="str">
        <f>IF(J14=""," ",IF(ISNUMBER(SEARCH("소형",J14)),"소형","대형"))</f>
        <v xml:space="preserve"> </v>
      </c>
      <c r="V14" s="4">
        <v>43647</v>
      </c>
      <c r="W14" s="5"/>
      <c r="X14" s="5"/>
      <c r="Y14" s="5"/>
      <c r="Z14" s="13"/>
      <c r="AA14" s="13"/>
      <c r="AB14" s="13"/>
      <c r="AC14" s="13"/>
      <c r="AD14" s="13"/>
      <c r="AE14" s="14"/>
      <c r="AF14" s="14"/>
      <c r="AG14" s="14" t="s">
        <v>122</v>
      </c>
      <c r="AH14" s="14" t="s">
        <v>123</v>
      </c>
      <c r="AI14" s="6"/>
    </row>
    <row r="15" spans="1:35" ht="19.899999999999999" customHeight="1" x14ac:dyDescent="0.25">
      <c r="A15" s="5">
        <v>12</v>
      </c>
      <c r="B15" s="5" t="s">
        <v>33</v>
      </c>
      <c r="C15" s="5" t="s">
        <v>124</v>
      </c>
      <c r="D15" s="5" t="s">
        <v>99</v>
      </c>
      <c r="E15" s="5">
        <v>19741020</v>
      </c>
      <c r="F15" s="5" t="s">
        <v>36</v>
      </c>
      <c r="G15" s="5" t="s">
        <v>125</v>
      </c>
      <c r="H15" s="5" t="s">
        <v>38</v>
      </c>
      <c r="I15" s="5" t="s">
        <v>126</v>
      </c>
      <c r="J15" s="5" t="s">
        <v>127</v>
      </c>
      <c r="K15" s="5" t="s">
        <v>128</v>
      </c>
      <c r="L15" s="5" t="s">
        <v>129</v>
      </c>
      <c r="M15" s="5" t="s">
        <v>130</v>
      </c>
      <c r="N15" s="5" t="s">
        <v>131</v>
      </c>
      <c r="O15" s="5" t="s">
        <v>38</v>
      </c>
      <c r="P15" s="5" t="s">
        <v>132</v>
      </c>
      <c r="Q15" s="5" t="s">
        <v>133</v>
      </c>
      <c r="R15" s="4">
        <v>46216</v>
      </c>
      <c r="S15" s="4">
        <v>45892</v>
      </c>
      <c r="T15" s="5" t="str">
        <f>IF(AND(R15="", S15=""), "대기자", IF(AND(R15&lt;&gt;"", S15=""), "취업 중", IF(AND(R15="", S15&lt;&gt;""), "대기자", IF(R15=S15, "", IF(R15 &lt; S15, "대기자", "취업 중")))))</f>
        <v>취업 중</v>
      </c>
      <c r="U15" s="5" t="str">
        <f>IF(J15=""," ",IF(ISNUMBER(SEARCH("소형",J15)),"소형","대형"))</f>
        <v>대형</v>
      </c>
      <c r="V15" s="4">
        <v>42125</v>
      </c>
      <c r="W15" s="5"/>
      <c r="X15" s="5"/>
      <c r="Y15" s="5"/>
      <c r="Z15" s="13" t="s">
        <v>49</v>
      </c>
      <c r="AA15" s="13" t="s">
        <v>48</v>
      </c>
      <c r="AB15" s="13" t="s">
        <v>48</v>
      </c>
      <c r="AC15" s="13" t="s">
        <v>50</v>
      </c>
      <c r="AD15" s="13" t="s">
        <v>50</v>
      </c>
      <c r="AE15" s="14"/>
      <c r="AF15" s="14"/>
      <c r="AG15" s="14"/>
      <c r="AH15" s="14"/>
      <c r="AI15" s="6"/>
    </row>
    <row r="16" spans="1:35" ht="19.899999999999999" customHeight="1" x14ac:dyDescent="0.25">
      <c r="A16" s="5">
        <v>13</v>
      </c>
      <c r="B16" s="5" t="s">
        <v>33</v>
      </c>
      <c r="C16" s="5" t="s">
        <v>134</v>
      </c>
      <c r="D16" s="5" t="s">
        <v>56</v>
      </c>
      <c r="E16" s="5">
        <v>19780129</v>
      </c>
      <c r="F16" s="5" t="s">
        <v>36</v>
      </c>
      <c r="G16" s="5" t="s">
        <v>135</v>
      </c>
      <c r="H16" s="5" t="s">
        <v>38</v>
      </c>
      <c r="I16" s="5" t="s">
        <v>136</v>
      </c>
      <c r="J16" s="5" t="s">
        <v>137</v>
      </c>
      <c r="K16" s="5" t="s">
        <v>138</v>
      </c>
      <c r="L16" s="5" t="s">
        <v>139</v>
      </c>
      <c r="M16" s="5" t="s">
        <v>140</v>
      </c>
      <c r="N16" s="5" t="s">
        <v>141</v>
      </c>
      <c r="O16" s="5" t="s">
        <v>38</v>
      </c>
      <c r="P16" s="5" t="s">
        <v>92</v>
      </c>
      <c r="Q16" s="5" t="s">
        <v>142</v>
      </c>
      <c r="R16" s="4">
        <v>46190</v>
      </c>
      <c r="S16" s="4">
        <v>46004</v>
      </c>
      <c r="T16" s="5" t="str">
        <f>IF(AND(R16="", S16=""), "대기자", IF(AND(R16&lt;&gt;"", S16=""), "취업 중", IF(AND(R16="", S16&lt;&gt;""), "대기자", IF(R16=S16, "", IF(R16 &lt; S16, "대기자", "취업 중")))))</f>
        <v>취업 중</v>
      </c>
      <c r="U16" s="5" t="str">
        <f>IF(J16=""," ",IF(ISNUMBER(SEARCH("소형",J16)),"소형","대형"))</f>
        <v>대형</v>
      </c>
      <c r="V16" s="4">
        <v>42826</v>
      </c>
      <c r="W16" s="5"/>
      <c r="X16" s="5"/>
      <c r="Y16" s="5"/>
      <c r="Z16" s="13" t="s">
        <v>47</v>
      </c>
      <c r="AA16" s="13" t="s">
        <v>48</v>
      </c>
      <c r="AB16" s="13" t="s">
        <v>48</v>
      </c>
      <c r="AC16" s="13" t="s">
        <v>50</v>
      </c>
      <c r="AD16" s="13" t="s">
        <v>49</v>
      </c>
      <c r="AE16" s="15"/>
      <c r="AF16" s="15"/>
      <c r="AG16" s="15"/>
      <c r="AH16" s="15"/>
      <c r="AI16" s="6"/>
    </row>
    <row r="17" spans="1:35" ht="19.899999999999999" customHeight="1" x14ac:dyDescent="0.25">
      <c r="A17" s="5">
        <v>14</v>
      </c>
      <c r="B17" s="5" t="s">
        <v>33</v>
      </c>
      <c r="C17" s="5" t="s">
        <v>143</v>
      </c>
      <c r="D17" s="5" t="s">
        <v>144</v>
      </c>
      <c r="E17" s="5">
        <v>19791013</v>
      </c>
      <c r="F17" s="5" t="s">
        <v>36</v>
      </c>
      <c r="G17" s="5" t="s">
        <v>145</v>
      </c>
      <c r="H17" s="5" t="s">
        <v>38</v>
      </c>
      <c r="I17" s="5" t="s">
        <v>146</v>
      </c>
      <c r="J17" s="5" t="s">
        <v>147</v>
      </c>
      <c r="K17" s="5" t="s">
        <v>148</v>
      </c>
      <c r="L17" s="5" t="s">
        <v>149</v>
      </c>
      <c r="M17" s="5" t="s">
        <v>150</v>
      </c>
      <c r="N17" s="5" t="s">
        <v>151</v>
      </c>
      <c r="O17" s="5" t="s">
        <v>38</v>
      </c>
      <c r="P17" s="5" t="s">
        <v>152</v>
      </c>
      <c r="Q17" s="5" t="s">
        <v>153</v>
      </c>
      <c r="R17" s="4">
        <v>45793</v>
      </c>
      <c r="S17" s="4">
        <v>45372</v>
      </c>
      <c r="T17" s="5" t="str">
        <f>IF(AND(R17="", S17=""), "대기자", IF(AND(R17&lt;&gt;"", S17=""), "취업 중", IF(AND(R17="", S17&lt;&gt;""), "대기자", IF(R17=S17, "", IF(R17 &lt; S17, "대기자", "취업 중")))))</f>
        <v>취업 중</v>
      </c>
      <c r="U17" s="5" t="str">
        <f>IF(J17=""," ",IF(ISNUMBER(SEARCH("소형",J17)),"소형","대형"))</f>
        <v>대형</v>
      </c>
      <c r="V17" s="4">
        <v>42544</v>
      </c>
      <c r="W17" s="5"/>
      <c r="X17" s="5"/>
      <c r="Y17" s="5"/>
      <c r="Z17" s="13" t="s">
        <v>154</v>
      </c>
      <c r="AA17" s="13" t="s">
        <v>70</v>
      </c>
      <c r="AB17" s="13" t="s">
        <v>47</v>
      </c>
      <c r="AC17" s="13" t="s">
        <v>48</v>
      </c>
      <c r="AD17" s="13" t="s">
        <v>48</v>
      </c>
      <c r="AE17" s="14"/>
      <c r="AF17" s="14"/>
      <c r="AG17" s="14" t="s">
        <v>155</v>
      </c>
      <c r="AH17" s="14" t="s">
        <v>154</v>
      </c>
      <c r="AI17" s="6"/>
    </row>
    <row r="18" spans="1:35" ht="19.899999999999999" customHeight="1" x14ac:dyDescent="0.25">
      <c r="A18" s="5">
        <v>15</v>
      </c>
      <c r="B18" s="5" t="s">
        <v>33</v>
      </c>
      <c r="C18" s="5" t="s">
        <v>156</v>
      </c>
      <c r="D18" s="5" t="s">
        <v>35</v>
      </c>
      <c r="E18" s="5">
        <v>19641227</v>
      </c>
      <c r="F18" s="5" t="s">
        <v>36</v>
      </c>
      <c r="G18" s="5" t="s">
        <v>157</v>
      </c>
      <c r="H18" s="5" t="s">
        <v>38</v>
      </c>
      <c r="I18" s="5" t="s">
        <v>158</v>
      </c>
      <c r="J18" s="5" t="s">
        <v>159</v>
      </c>
      <c r="K18" s="5" t="s">
        <v>160</v>
      </c>
      <c r="L18" s="5" t="s">
        <v>161</v>
      </c>
      <c r="M18" s="5" t="s">
        <v>162</v>
      </c>
      <c r="N18" s="5" t="s">
        <v>163</v>
      </c>
      <c r="O18" s="5" t="s">
        <v>38</v>
      </c>
      <c r="P18" s="5" t="s">
        <v>164</v>
      </c>
      <c r="Q18" s="5" t="s">
        <v>165</v>
      </c>
      <c r="R18" s="4">
        <v>45826</v>
      </c>
      <c r="S18" s="4">
        <v>44999</v>
      </c>
      <c r="T18" s="5" t="str">
        <f>IF(AND(R18="", S18=""), "대기자", IF(AND(R18&lt;&gt;"", S18=""), "취업 중", IF(AND(R18="", S18&lt;&gt;""), "대기자", IF(R18=S18, "", IF(R18 &lt; S18, "대기자", "취업 중")))))</f>
        <v>취업 중</v>
      </c>
      <c r="U18" s="5" t="str">
        <f>IF(J18=""," ",IF(ISNUMBER(SEARCH("소형",J18)),"소형","대형"))</f>
        <v>대형</v>
      </c>
      <c r="V18" s="4">
        <v>41395</v>
      </c>
      <c r="W18" s="5"/>
      <c r="X18" s="5"/>
      <c r="Y18" s="5"/>
      <c r="Z18" s="13" t="s">
        <v>70</v>
      </c>
      <c r="AA18" s="13" t="s">
        <v>48</v>
      </c>
      <c r="AB18" s="13" t="s">
        <v>48</v>
      </c>
      <c r="AC18" s="13" t="s">
        <v>50</v>
      </c>
      <c r="AD18" s="13" t="s">
        <v>48</v>
      </c>
      <c r="AE18" s="15"/>
      <c r="AF18" s="15"/>
      <c r="AG18" s="15" t="s">
        <v>166</v>
      </c>
      <c r="AH18" s="15" t="s">
        <v>167</v>
      </c>
      <c r="AI18" s="6"/>
    </row>
    <row r="19" spans="1:35" ht="19.899999999999999" customHeight="1" x14ac:dyDescent="0.25">
      <c r="A19" s="5">
        <v>16</v>
      </c>
      <c r="B19" s="5" t="s">
        <v>33</v>
      </c>
      <c r="C19" s="5" t="s">
        <v>168</v>
      </c>
      <c r="D19" s="5" t="s">
        <v>35</v>
      </c>
      <c r="E19" s="5">
        <v>19710619</v>
      </c>
      <c r="F19" s="5" t="s">
        <v>36</v>
      </c>
      <c r="G19" s="5" t="s">
        <v>169</v>
      </c>
      <c r="H19" s="5" t="s">
        <v>38</v>
      </c>
      <c r="I19" s="5" t="s">
        <v>170</v>
      </c>
      <c r="J19" s="5" t="s">
        <v>59</v>
      </c>
      <c r="K19" s="5" t="s">
        <v>60</v>
      </c>
      <c r="L19" s="5" t="s">
        <v>171</v>
      </c>
      <c r="M19" s="5" t="s">
        <v>62</v>
      </c>
      <c r="N19" s="5" t="s">
        <v>63</v>
      </c>
      <c r="O19" s="5" t="s">
        <v>38</v>
      </c>
      <c r="P19" s="5" t="s">
        <v>64</v>
      </c>
      <c r="Q19" s="5" t="s">
        <v>172</v>
      </c>
      <c r="R19" s="4">
        <v>45383</v>
      </c>
      <c r="S19" s="4">
        <v>45367</v>
      </c>
      <c r="T19" s="5" t="str">
        <f>IF(AND(R19="", S19=""), "대기자", IF(AND(R19&lt;&gt;"", S19=""), "취업 중", IF(AND(R19="", S19&lt;&gt;""), "대기자", IF(R19=S19, "", IF(R19 &lt; S19, "대기자", "취업 중")))))</f>
        <v>취업 중</v>
      </c>
      <c r="U19" s="5" t="str">
        <f>IF(J19=""," ",IF(ISNUMBER(SEARCH("소형",J19)),"소형","대형"))</f>
        <v>대형</v>
      </c>
      <c r="V19" s="4">
        <v>39083</v>
      </c>
      <c r="W19" s="5"/>
      <c r="X19" s="5"/>
      <c r="Y19" s="5"/>
      <c r="Z19" s="13">
        <v>5</v>
      </c>
      <c r="AA19" s="13">
        <v>2</v>
      </c>
      <c r="AB19" s="13">
        <v>2</v>
      </c>
      <c r="AC19" s="13">
        <v>0</v>
      </c>
      <c r="AD19" s="13">
        <v>1</v>
      </c>
      <c r="AE19" s="14"/>
      <c r="AF19" s="14"/>
      <c r="AG19" s="14" t="s">
        <v>83</v>
      </c>
      <c r="AH19" s="14" t="s">
        <v>173</v>
      </c>
      <c r="AI19" s="6"/>
    </row>
    <row r="20" spans="1:35" ht="19.899999999999999" customHeight="1" x14ac:dyDescent="0.25">
      <c r="A20" s="5">
        <v>17</v>
      </c>
      <c r="B20" s="5" t="s">
        <v>33</v>
      </c>
      <c r="C20" s="5" t="s">
        <v>174</v>
      </c>
      <c r="D20" s="5" t="s">
        <v>67</v>
      </c>
      <c r="E20" s="5">
        <v>19700105</v>
      </c>
      <c r="F20" s="5" t="s">
        <v>36</v>
      </c>
      <c r="G20" s="5" t="s">
        <v>175</v>
      </c>
      <c r="H20" s="5" t="s">
        <v>38</v>
      </c>
      <c r="I20" s="5" t="s">
        <v>176</v>
      </c>
      <c r="J20" s="5" t="s">
        <v>59</v>
      </c>
      <c r="K20" s="5" t="s">
        <v>60</v>
      </c>
      <c r="L20" s="5" t="s">
        <v>61</v>
      </c>
      <c r="M20" s="5" t="s">
        <v>62</v>
      </c>
      <c r="N20" s="5" t="s">
        <v>63</v>
      </c>
      <c r="O20" s="5" t="s">
        <v>38</v>
      </c>
      <c r="P20" s="5" t="s">
        <v>64</v>
      </c>
      <c r="Q20" s="5" t="s">
        <v>65</v>
      </c>
      <c r="R20" s="4">
        <v>46132</v>
      </c>
      <c r="S20" s="4">
        <v>45869</v>
      </c>
      <c r="T20" s="5" t="str">
        <f>IF(AND(R20="", S20=""), "대기자", IF(AND(R20&lt;&gt;"", S20=""), "취업 중", IF(AND(R20="", S20&lt;&gt;""), "대기자", IF(R20=S20, "", IF(R20 &lt; S20, "대기자", "취업 중")))))</f>
        <v>취업 중</v>
      </c>
      <c r="U20" s="5" t="str">
        <f>IF(J20=""," ",IF(ISNUMBER(SEARCH("소형",J20)),"소형","대형"))</f>
        <v>대형</v>
      </c>
      <c r="V20" s="4">
        <v>42583</v>
      </c>
      <c r="W20" s="5"/>
      <c r="X20" s="5"/>
      <c r="Y20" s="5"/>
      <c r="Z20" s="13">
        <v>27</v>
      </c>
      <c r="AA20" s="13">
        <v>12</v>
      </c>
      <c r="AB20" s="13">
        <v>12</v>
      </c>
      <c r="AC20" s="13">
        <v>1</v>
      </c>
      <c r="AD20" s="13">
        <v>2</v>
      </c>
      <c r="AE20" s="15"/>
      <c r="AF20" s="15"/>
      <c r="AG20" s="15"/>
      <c r="AH20" s="15" t="s">
        <v>177</v>
      </c>
      <c r="AI20" s="6"/>
    </row>
    <row r="21" spans="1:35" ht="19.899999999999999" customHeight="1" x14ac:dyDescent="0.25">
      <c r="A21" s="5">
        <v>18</v>
      </c>
      <c r="B21" s="5" t="s">
        <v>33</v>
      </c>
      <c r="C21" s="5" t="s">
        <v>178</v>
      </c>
      <c r="D21" s="5" t="s">
        <v>179</v>
      </c>
      <c r="E21" s="5">
        <v>19960805</v>
      </c>
      <c r="F21" s="5" t="s">
        <v>36</v>
      </c>
      <c r="G21" s="5" t="s">
        <v>180</v>
      </c>
      <c r="H21" s="5" t="s">
        <v>38</v>
      </c>
      <c r="I21" s="5" t="s">
        <v>181</v>
      </c>
      <c r="J21" s="5"/>
      <c r="K21" s="5"/>
      <c r="L21" s="5"/>
      <c r="M21" s="5"/>
      <c r="N21" s="5"/>
      <c r="O21" s="5"/>
      <c r="P21" s="5"/>
      <c r="Q21" s="5"/>
      <c r="R21" s="4">
        <v>45514</v>
      </c>
      <c r="S21" s="4">
        <v>46228</v>
      </c>
      <c r="T21" s="5" t="str">
        <f>IF(AND(R21="", S21=""), "대기자", IF(AND(R21&lt;&gt;"", S21=""), "취업 중", IF(AND(R21="", S21&lt;&gt;""), "대기자", IF(R21=S21, "", IF(R21 &lt; S21, "대기자", "취업 중")))))</f>
        <v>대기자</v>
      </c>
      <c r="U21" s="5" t="str">
        <f>IF(J21=""," ",IF(ISNUMBER(SEARCH("소형",J21)),"소형","대형"))</f>
        <v xml:space="preserve"> </v>
      </c>
      <c r="V21" s="4">
        <v>43647</v>
      </c>
      <c r="W21" s="5"/>
      <c r="X21" s="5"/>
      <c r="Y21" s="5"/>
      <c r="Z21" s="13"/>
      <c r="AA21" s="13"/>
      <c r="AB21" s="13"/>
      <c r="AC21" s="13"/>
      <c r="AD21" s="13"/>
      <c r="AE21" s="14" t="s">
        <v>182</v>
      </c>
      <c r="AF21" s="14" t="s">
        <v>183</v>
      </c>
      <c r="AG21" s="14" t="s">
        <v>184</v>
      </c>
      <c r="AH21" s="14" t="s">
        <v>185</v>
      </c>
      <c r="AI21" s="6"/>
    </row>
    <row r="22" spans="1:35" ht="19.899999999999999" customHeight="1" x14ac:dyDescent="0.25">
      <c r="A22" s="5">
        <v>19</v>
      </c>
      <c r="B22" s="5" t="s">
        <v>33</v>
      </c>
      <c r="C22" s="5" t="s">
        <v>186</v>
      </c>
      <c r="D22" s="5" t="s">
        <v>56</v>
      </c>
      <c r="E22" s="5">
        <v>19790205</v>
      </c>
      <c r="F22" s="5" t="s">
        <v>36</v>
      </c>
      <c r="G22" s="5" t="s">
        <v>187</v>
      </c>
      <c r="H22" s="5" t="s">
        <v>38</v>
      </c>
      <c r="I22" s="5" t="s">
        <v>188</v>
      </c>
      <c r="J22" s="5" t="s">
        <v>87</v>
      </c>
      <c r="K22" s="5" t="s">
        <v>128</v>
      </c>
      <c r="L22" s="5" t="s">
        <v>189</v>
      </c>
      <c r="M22" s="5" t="s">
        <v>190</v>
      </c>
      <c r="N22" s="5" t="s">
        <v>191</v>
      </c>
      <c r="O22" s="5" t="s">
        <v>38</v>
      </c>
      <c r="P22" s="5" t="s">
        <v>64</v>
      </c>
      <c r="Q22" s="5" t="s">
        <v>192</v>
      </c>
      <c r="R22" s="4">
        <v>46268</v>
      </c>
      <c r="S22" s="4">
        <v>46235</v>
      </c>
      <c r="T22" s="5" t="str">
        <f>IF(AND(R22="", S22=""), "대기자", IF(AND(R22&lt;&gt;"", S22=""), "취업 중", IF(AND(R22="", S22&lt;&gt;""), "대기자", IF(R22=S22, "", IF(R22 &lt; S22, "대기자", "취업 중")))))</f>
        <v>취업 중</v>
      </c>
      <c r="U22" s="5" t="str">
        <f>IF(J22=""," ",IF(ISNUMBER(SEARCH("소형",J22)),"소형","대형"))</f>
        <v>대형</v>
      </c>
      <c r="V22" s="4">
        <v>43623</v>
      </c>
      <c r="W22" s="5"/>
      <c r="X22" s="5"/>
      <c r="Y22" s="5"/>
      <c r="Z22" s="16">
        <v>6</v>
      </c>
      <c r="AA22" s="16">
        <v>2</v>
      </c>
      <c r="AB22" s="16">
        <v>3</v>
      </c>
      <c r="AC22" s="16">
        <v>0</v>
      </c>
      <c r="AD22" s="16">
        <v>0</v>
      </c>
      <c r="AE22" s="15">
        <v>1</v>
      </c>
      <c r="AF22" s="15"/>
      <c r="AG22" s="15" t="s">
        <v>193</v>
      </c>
      <c r="AH22" s="15" t="s">
        <v>194</v>
      </c>
      <c r="AI22" s="15">
        <v>1</v>
      </c>
    </row>
    <row r="23" spans="1:35" ht="19.899999999999999" customHeight="1" x14ac:dyDescent="0.25">
      <c r="A23" s="5">
        <v>20</v>
      </c>
      <c r="B23" s="5" t="s">
        <v>33</v>
      </c>
      <c r="C23" s="5" t="s">
        <v>195</v>
      </c>
      <c r="D23" s="5" t="s">
        <v>72</v>
      </c>
      <c r="E23" s="5">
        <v>19691006</v>
      </c>
      <c r="F23" s="5" t="s">
        <v>36</v>
      </c>
      <c r="G23" s="5" t="s">
        <v>196</v>
      </c>
      <c r="H23" s="5" t="s">
        <v>38</v>
      </c>
      <c r="I23" s="5" t="s">
        <v>197</v>
      </c>
      <c r="J23" s="5" t="s">
        <v>198</v>
      </c>
      <c r="K23" s="5" t="s">
        <v>88</v>
      </c>
      <c r="L23" s="5" t="s">
        <v>199</v>
      </c>
      <c r="M23" s="5" t="s">
        <v>200</v>
      </c>
      <c r="N23" s="5" t="s">
        <v>201</v>
      </c>
      <c r="O23" s="5" t="s">
        <v>38</v>
      </c>
      <c r="P23" s="5" t="s">
        <v>132</v>
      </c>
      <c r="Q23" s="5" t="s">
        <v>202</v>
      </c>
      <c r="R23" s="4">
        <v>45723</v>
      </c>
      <c r="S23" s="4">
        <v>45385</v>
      </c>
      <c r="T23" s="5" t="str">
        <f>IF(AND(R23="", S23=""), "대기자", IF(AND(R23&lt;&gt;"", S23=""), "취업 중", IF(AND(R23="", S23&lt;&gt;""), "대기자", IF(R23=S23, "", IF(R23 &lt; S23, "대기자", "취업 중")))))</f>
        <v>취업 중</v>
      </c>
      <c r="U23" s="5" t="str">
        <f>IF(J23=""," ",IF(ISNUMBER(SEARCH("소형",J23)),"소형","대형"))</f>
        <v>대형</v>
      </c>
      <c r="V23" s="4">
        <v>41913</v>
      </c>
      <c r="W23" s="5"/>
      <c r="X23" s="5"/>
      <c r="Y23" s="5"/>
      <c r="Z23" s="13" t="s">
        <v>154</v>
      </c>
      <c r="AA23" s="13" t="s">
        <v>94</v>
      </c>
      <c r="AB23" s="13" t="s">
        <v>70</v>
      </c>
      <c r="AC23" s="13" t="s">
        <v>48</v>
      </c>
      <c r="AD23" s="13" t="s">
        <v>50</v>
      </c>
      <c r="AE23" s="14"/>
      <c r="AF23" s="14"/>
      <c r="AG23" s="14"/>
      <c r="AH23" s="14" t="s">
        <v>203</v>
      </c>
      <c r="AI23" s="6"/>
    </row>
    <row r="24" spans="1:35" ht="19.899999999999999" customHeight="1" x14ac:dyDescent="0.25">
      <c r="A24" s="5">
        <v>21</v>
      </c>
      <c r="B24" s="5" t="s">
        <v>33</v>
      </c>
      <c r="C24" s="5" t="s">
        <v>204</v>
      </c>
      <c r="D24" s="5" t="s">
        <v>67</v>
      </c>
      <c r="E24" s="5">
        <v>19720429</v>
      </c>
      <c r="F24" s="5" t="s">
        <v>36</v>
      </c>
      <c r="G24" s="5" t="s">
        <v>205</v>
      </c>
      <c r="H24" s="5" t="s">
        <v>38</v>
      </c>
      <c r="I24" s="5" t="s">
        <v>206</v>
      </c>
      <c r="J24" s="5" t="s">
        <v>59</v>
      </c>
      <c r="K24" s="5" t="s">
        <v>60</v>
      </c>
      <c r="L24" s="5" t="s">
        <v>171</v>
      </c>
      <c r="M24" s="5" t="s">
        <v>62</v>
      </c>
      <c r="N24" s="5" t="s">
        <v>63</v>
      </c>
      <c r="O24" s="5" t="s">
        <v>38</v>
      </c>
      <c r="P24" s="5" t="s">
        <v>64</v>
      </c>
      <c r="Q24" s="5" t="s">
        <v>172</v>
      </c>
      <c r="R24" s="4">
        <v>45580</v>
      </c>
      <c r="S24" s="4">
        <v>45419</v>
      </c>
      <c r="T24" s="5" t="str">
        <f>IF(AND(R24="", S24=""), "대기자", IF(AND(R24&lt;&gt;"", S24=""), "취업 중", IF(AND(R24="", S24&lt;&gt;""), "대기자", IF(R24=S24, "", IF(R24 &lt; S24, "대기자", "취업 중")))))</f>
        <v>취업 중</v>
      </c>
      <c r="U24" s="5" t="str">
        <f>IF(J24=""," ",IF(ISNUMBER(SEARCH("소형",J24)),"소형","대형"))</f>
        <v>대형</v>
      </c>
      <c r="V24" s="4">
        <v>42684</v>
      </c>
      <c r="W24" s="5"/>
      <c r="X24" s="5"/>
      <c r="Y24" s="5"/>
      <c r="Z24" s="13">
        <v>5</v>
      </c>
      <c r="AA24" s="13">
        <v>2</v>
      </c>
      <c r="AB24" s="13">
        <v>2</v>
      </c>
      <c r="AC24" s="13">
        <v>0</v>
      </c>
      <c r="AD24" s="13">
        <v>1</v>
      </c>
      <c r="AE24" s="15"/>
      <c r="AF24" s="15"/>
      <c r="AG24" s="15" t="s">
        <v>83</v>
      </c>
      <c r="AH24" s="15" t="s">
        <v>207</v>
      </c>
      <c r="AI24" s="6"/>
    </row>
    <row r="25" spans="1:35" ht="19.899999999999999" customHeight="1" x14ac:dyDescent="0.25">
      <c r="A25" s="5">
        <v>22</v>
      </c>
      <c r="B25" s="5" t="s">
        <v>33</v>
      </c>
      <c r="C25" s="5" t="s">
        <v>208</v>
      </c>
      <c r="D25" s="5" t="s">
        <v>67</v>
      </c>
      <c r="E25" s="5">
        <v>19740921</v>
      </c>
      <c r="F25" s="5" t="s">
        <v>52</v>
      </c>
      <c r="G25" s="5" t="s">
        <v>209</v>
      </c>
      <c r="H25" s="5" t="s">
        <v>38</v>
      </c>
      <c r="I25" s="5" t="s">
        <v>210</v>
      </c>
      <c r="J25" s="5" t="s">
        <v>211</v>
      </c>
      <c r="K25" s="5" t="s">
        <v>76</v>
      </c>
      <c r="L25" s="5" t="s">
        <v>212</v>
      </c>
      <c r="M25" s="5" t="s">
        <v>213</v>
      </c>
      <c r="N25" s="5" t="s">
        <v>214</v>
      </c>
      <c r="O25" s="5" t="s">
        <v>38</v>
      </c>
      <c r="P25" s="5" t="s">
        <v>215</v>
      </c>
      <c r="Q25" s="5" t="s">
        <v>216</v>
      </c>
      <c r="R25" s="4">
        <v>45824</v>
      </c>
      <c r="S25" s="4">
        <v>45377</v>
      </c>
      <c r="T25" s="5" t="str">
        <f>IF(AND(R25="", S25=""), "대기자", IF(AND(R25&lt;&gt;"", S25=""), "취업 중", IF(AND(R25="", S25&lt;&gt;""), "대기자", IF(R25=S25, "", IF(R25 &lt; S25, "대기자", "취업 중")))))</f>
        <v>취업 중</v>
      </c>
      <c r="U25" s="5" t="str">
        <f>IF(J25=""," ",IF(ISNUMBER(SEARCH("소형",J25)),"소형","대형"))</f>
        <v>대형</v>
      </c>
      <c r="V25" s="4">
        <v>42492</v>
      </c>
      <c r="W25" s="5"/>
      <c r="X25" s="5"/>
      <c r="Y25" s="5"/>
      <c r="Z25" s="13" t="s">
        <v>47</v>
      </c>
      <c r="AA25" s="13" t="s">
        <v>48</v>
      </c>
      <c r="AB25" s="13" t="s">
        <v>49</v>
      </c>
      <c r="AC25" s="13" t="s">
        <v>48</v>
      </c>
      <c r="AD25" s="13" t="s">
        <v>50</v>
      </c>
      <c r="AE25" s="14"/>
      <c r="AF25" s="14"/>
      <c r="AG25" s="14" t="s">
        <v>83</v>
      </c>
      <c r="AH25" s="14" t="s">
        <v>217</v>
      </c>
      <c r="AI25" s="6"/>
    </row>
    <row r="26" spans="1:35" ht="19.899999999999999" customHeight="1" x14ac:dyDescent="0.25">
      <c r="A26" s="5">
        <v>23</v>
      </c>
      <c r="B26" s="5" t="s">
        <v>33</v>
      </c>
      <c r="C26" s="5" t="s">
        <v>218</v>
      </c>
      <c r="D26" s="5" t="s">
        <v>35</v>
      </c>
      <c r="E26" s="5">
        <v>19671202</v>
      </c>
      <c r="F26" s="5" t="s">
        <v>52</v>
      </c>
      <c r="G26" s="5" t="s">
        <v>219</v>
      </c>
      <c r="H26" s="5" t="s">
        <v>38</v>
      </c>
      <c r="I26" s="5" t="s">
        <v>220</v>
      </c>
      <c r="J26" s="5"/>
      <c r="K26" s="5"/>
      <c r="L26" s="5"/>
      <c r="M26" s="5"/>
      <c r="N26" s="5"/>
      <c r="O26" s="5"/>
      <c r="P26" s="5"/>
      <c r="Q26" s="5"/>
      <c r="R26" s="4">
        <v>45356</v>
      </c>
      <c r="S26" s="4">
        <v>45899</v>
      </c>
      <c r="T26" s="5" t="str">
        <f>IF(AND(R26="", S26=""), "대기자", IF(AND(R26&lt;&gt;"", S26=""), "취업 중", IF(AND(R26="", S26&lt;&gt;""), "대기자", IF(R26=S26, "", IF(R26 &lt; S26, "대기자", "취업 중")))))</f>
        <v>대기자</v>
      </c>
      <c r="U26" s="5" t="str">
        <f>IF(J26=""," ",IF(ISNUMBER(SEARCH("소형",J26)),"소형","대형"))</f>
        <v xml:space="preserve"> </v>
      </c>
      <c r="V26" s="4">
        <v>39083</v>
      </c>
      <c r="W26" s="5"/>
      <c r="X26" s="5"/>
      <c r="Y26" s="5"/>
      <c r="Z26" s="13"/>
      <c r="AA26" s="13"/>
      <c r="AB26" s="13"/>
      <c r="AC26" s="13"/>
      <c r="AD26" s="13"/>
      <c r="AE26" s="15"/>
      <c r="AF26" s="15"/>
      <c r="AG26" s="15"/>
      <c r="AH26" s="15"/>
      <c r="AI26" s="6"/>
    </row>
    <row r="27" spans="1:35" ht="19.899999999999999" customHeight="1" x14ac:dyDescent="0.25">
      <c r="A27" s="5">
        <v>24</v>
      </c>
      <c r="B27" s="5" t="s">
        <v>33</v>
      </c>
      <c r="C27" s="5" t="s">
        <v>221</v>
      </c>
      <c r="D27" s="5" t="s">
        <v>72</v>
      </c>
      <c r="E27" s="5">
        <v>19860312</v>
      </c>
      <c r="F27" s="5" t="s">
        <v>36</v>
      </c>
      <c r="G27" s="5" t="s">
        <v>222</v>
      </c>
      <c r="H27" s="5" t="s">
        <v>38</v>
      </c>
      <c r="I27" s="5" t="s">
        <v>223</v>
      </c>
      <c r="J27" s="5" t="s">
        <v>159</v>
      </c>
      <c r="K27" s="5" t="s">
        <v>224</v>
      </c>
      <c r="L27" s="5" t="s">
        <v>225</v>
      </c>
      <c r="M27" s="5" t="s">
        <v>226</v>
      </c>
      <c r="N27" s="5" t="s">
        <v>227</v>
      </c>
      <c r="O27" s="5" t="s">
        <v>38</v>
      </c>
      <c r="P27" s="5" t="s">
        <v>64</v>
      </c>
      <c r="Q27" s="5" t="s">
        <v>228</v>
      </c>
      <c r="R27" s="4">
        <v>46184</v>
      </c>
      <c r="S27" s="4">
        <v>45758</v>
      </c>
      <c r="T27" s="5" t="str">
        <f>IF(AND(R27="", S27=""), "대기자", IF(AND(R27&lt;&gt;"", S27=""), "취업 중", IF(AND(R27="", S27&lt;&gt;""), "대기자", IF(R27=S27, "", IF(R27 &lt; S27, "대기자", "취업 중")))))</f>
        <v>취업 중</v>
      </c>
      <c r="U27" s="5" t="str">
        <f>IF(J27=""," ",IF(ISNUMBER(SEARCH("소형",J27)),"소형","대형"))</f>
        <v>대형</v>
      </c>
      <c r="V27" s="4">
        <v>42923</v>
      </c>
      <c r="W27" s="5"/>
      <c r="X27" s="5"/>
      <c r="Y27" s="5"/>
      <c r="Z27" s="13" t="s">
        <v>82</v>
      </c>
      <c r="AA27" s="13" t="s">
        <v>49</v>
      </c>
      <c r="AB27" s="13" t="s">
        <v>70</v>
      </c>
      <c r="AC27" s="13" t="s">
        <v>50</v>
      </c>
      <c r="AD27" s="13" t="s">
        <v>48</v>
      </c>
      <c r="AE27" s="14"/>
      <c r="AF27" s="14"/>
      <c r="AG27" s="14"/>
      <c r="AH27" s="14"/>
      <c r="AI27" s="6"/>
    </row>
    <row r="28" spans="1:35" ht="19.899999999999999" customHeight="1" x14ac:dyDescent="0.25">
      <c r="A28" s="5">
        <v>25</v>
      </c>
      <c r="B28" s="5" t="s">
        <v>33</v>
      </c>
      <c r="C28" s="5" t="s">
        <v>229</v>
      </c>
      <c r="D28" s="5" t="s">
        <v>72</v>
      </c>
      <c r="E28" s="5">
        <v>19841114</v>
      </c>
      <c r="F28" s="5" t="s">
        <v>36</v>
      </c>
      <c r="G28" s="5" t="s">
        <v>230</v>
      </c>
      <c r="H28" s="5" t="s">
        <v>38</v>
      </c>
      <c r="I28" s="5" t="s">
        <v>231</v>
      </c>
      <c r="J28" s="5"/>
      <c r="K28" s="5"/>
      <c r="L28" s="5"/>
      <c r="M28" s="5"/>
      <c r="N28" s="5"/>
      <c r="O28" s="5"/>
      <c r="P28" s="5"/>
      <c r="Q28" s="5"/>
      <c r="R28" s="4">
        <v>45887</v>
      </c>
      <c r="S28" s="4">
        <v>46133</v>
      </c>
      <c r="T28" s="5" t="str">
        <f>IF(AND(R28="", S28=""), "대기자", IF(AND(R28&lt;&gt;"", S28=""), "취업 중", IF(AND(R28="", S28&lt;&gt;""), "대기자", IF(R28=S28, "", IF(R28 &lt; S28, "대기자", "취업 중")))))</f>
        <v>대기자</v>
      </c>
      <c r="U28" s="5" t="str">
        <f>IF(J28=""," ",IF(ISNUMBER(SEARCH("소형",J28)),"소형","대형"))</f>
        <v xml:space="preserve"> </v>
      </c>
      <c r="V28" s="4">
        <v>45627</v>
      </c>
      <c r="W28" s="5"/>
      <c r="X28" s="5"/>
      <c r="Y28" s="5"/>
      <c r="Z28" s="13"/>
      <c r="AA28" s="13"/>
      <c r="AB28" s="13"/>
      <c r="AC28" s="13"/>
      <c r="AD28" s="13"/>
      <c r="AE28" s="15"/>
      <c r="AF28" s="15"/>
      <c r="AG28" s="15"/>
      <c r="AH28" s="15"/>
      <c r="AI28" s="6"/>
    </row>
    <row r="29" spans="1:35" ht="19.899999999999999" customHeight="1" x14ac:dyDescent="0.25">
      <c r="A29" s="5">
        <v>26</v>
      </c>
      <c r="B29" s="5" t="s">
        <v>33</v>
      </c>
      <c r="C29" s="5" t="s">
        <v>232</v>
      </c>
      <c r="D29" s="5" t="s">
        <v>144</v>
      </c>
      <c r="E29" s="5">
        <v>19860630</v>
      </c>
      <c r="F29" s="5" t="s">
        <v>36</v>
      </c>
      <c r="G29" s="5" t="s">
        <v>233</v>
      </c>
      <c r="H29" s="5" t="s">
        <v>38</v>
      </c>
      <c r="I29" s="5" t="s">
        <v>234</v>
      </c>
      <c r="J29" s="5" t="s">
        <v>235</v>
      </c>
      <c r="K29" s="5" t="s">
        <v>236</v>
      </c>
      <c r="L29" s="5" t="s">
        <v>237</v>
      </c>
      <c r="M29" s="5" t="s">
        <v>238</v>
      </c>
      <c r="N29" s="5" t="s">
        <v>239</v>
      </c>
      <c r="O29" s="5" t="s">
        <v>38</v>
      </c>
      <c r="P29" s="5" t="s">
        <v>45</v>
      </c>
      <c r="Q29" s="5" t="s">
        <v>240</v>
      </c>
      <c r="R29" s="4">
        <v>46154</v>
      </c>
      <c r="S29" s="4">
        <v>45840</v>
      </c>
      <c r="T29" s="5" t="str">
        <f>IF(AND(R29="", S29=""), "대기자", IF(AND(R29&lt;&gt;"", S29=""), "취업 중", IF(AND(R29="", S29&lt;&gt;""), "대기자", IF(R29=S29, "", IF(R29 &lt; S29, "대기자", "취업 중")))))</f>
        <v>취업 중</v>
      </c>
      <c r="U29" s="5" t="str">
        <f>IF(J29=""," ",IF(ISNUMBER(SEARCH("소형",J29)),"소형","대형"))</f>
        <v>대형</v>
      </c>
      <c r="V29" s="4">
        <v>44564</v>
      </c>
      <c r="W29" s="5"/>
      <c r="X29" s="5"/>
      <c r="Y29" s="5"/>
      <c r="Z29" s="13" t="s">
        <v>47</v>
      </c>
      <c r="AA29" s="13" t="s">
        <v>48</v>
      </c>
      <c r="AB29" s="13" t="s">
        <v>48</v>
      </c>
      <c r="AC29" s="13" t="s">
        <v>50</v>
      </c>
      <c r="AD29" s="13" t="s">
        <v>49</v>
      </c>
      <c r="AE29" s="14"/>
      <c r="AF29" s="14"/>
      <c r="AG29" s="14"/>
      <c r="AH29" s="14" t="s">
        <v>241</v>
      </c>
      <c r="AI29" s="6"/>
    </row>
    <row r="30" spans="1:35" ht="19.899999999999999" customHeight="1" x14ac:dyDescent="0.25">
      <c r="A30" s="5">
        <v>27</v>
      </c>
      <c r="B30" s="5" t="s">
        <v>33</v>
      </c>
      <c r="C30" s="5" t="s">
        <v>242</v>
      </c>
      <c r="D30" s="5" t="s">
        <v>179</v>
      </c>
      <c r="E30" s="5">
        <v>19980425</v>
      </c>
      <c r="F30" s="5" t="s">
        <v>36</v>
      </c>
      <c r="G30" s="5" t="s">
        <v>243</v>
      </c>
      <c r="H30" s="5" t="s">
        <v>38</v>
      </c>
      <c r="I30" s="5" t="s">
        <v>244</v>
      </c>
      <c r="J30" s="5" t="s">
        <v>198</v>
      </c>
      <c r="K30" s="5" t="s">
        <v>76</v>
      </c>
      <c r="L30" s="5" t="s">
        <v>245</v>
      </c>
      <c r="M30" s="5" t="s">
        <v>246</v>
      </c>
      <c r="N30" s="5"/>
      <c r="O30" s="5" t="s">
        <v>38</v>
      </c>
      <c r="P30" s="5" t="s">
        <v>64</v>
      </c>
      <c r="Q30" s="5" t="s">
        <v>247</v>
      </c>
      <c r="R30" s="4">
        <v>46128</v>
      </c>
      <c r="S30" s="4">
        <v>45625</v>
      </c>
      <c r="T30" s="5" t="str">
        <f>IF(AND(R30="", S30=""), "대기자", IF(AND(R30&lt;&gt;"", S30=""), "취업 중", IF(AND(R30="", S30&lt;&gt;""), "대기자", IF(R30=S30, "", IF(R30 &lt; S30, "대기자", "취업 중")))))</f>
        <v>취업 중</v>
      </c>
      <c r="U30" s="5" t="str">
        <f>IF(J30=""," ",IF(ISNUMBER(SEARCH("소형",J30)),"소형","대형"))</f>
        <v>대형</v>
      </c>
      <c r="V30" s="4">
        <v>43647</v>
      </c>
      <c r="W30" s="5"/>
      <c r="X30" s="5"/>
      <c r="Y30" s="5"/>
      <c r="Z30" s="13">
        <v>4</v>
      </c>
      <c r="AA30" s="13">
        <v>1</v>
      </c>
      <c r="AB30" s="13">
        <v>2</v>
      </c>
      <c r="AC30" s="13">
        <v>1</v>
      </c>
      <c r="AD30" s="13">
        <v>0</v>
      </c>
      <c r="AE30" s="15"/>
      <c r="AF30" s="15"/>
      <c r="AG30" s="15"/>
      <c r="AH30" s="15" t="s">
        <v>248</v>
      </c>
      <c r="AI30" s="6"/>
    </row>
    <row r="31" spans="1:35" ht="19.899999999999999" customHeight="1" x14ac:dyDescent="0.25">
      <c r="A31" s="5">
        <v>28</v>
      </c>
      <c r="B31" s="5" t="s">
        <v>33</v>
      </c>
      <c r="C31" s="5" t="s">
        <v>249</v>
      </c>
      <c r="D31" s="5" t="s">
        <v>179</v>
      </c>
      <c r="E31" s="5">
        <v>19760914</v>
      </c>
      <c r="F31" s="5" t="s">
        <v>36</v>
      </c>
      <c r="G31" s="5" t="s">
        <v>250</v>
      </c>
      <c r="H31" s="5" t="s">
        <v>38</v>
      </c>
      <c r="I31" s="5" t="s">
        <v>251</v>
      </c>
      <c r="J31" s="5" t="s">
        <v>252</v>
      </c>
      <c r="K31" s="5" t="s">
        <v>253</v>
      </c>
      <c r="L31" s="5" t="s">
        <v>254</v>
      </c>
      <c r="M31" s="5" t="s">
        <v>255</v>
      </c>
      <c r="N31" s="5" t="s">
        <v>256</v>
      </c>
      <c r="O31" s="5" t="s">
        <v>38</v>
      </c>
      <c r="P31" s="5" t="s">
        <v>132</v>
      </c>
      <c r="Q31" s="5" t="s">
        <v>257</v>
      </c>
      <c r="R31" s="4">
        <v>45943</v>
      </c>
      <c r="S31" s="4">
        <v>45448</v>
      </c>
      <c r="T31" s="5" t="str">
        <f>IF(AND(R31="", S31=""), "대기자", IF(AND(R31&lt;&gt;"", S31=""), "취업 중", IF(AND(R31="", S31&lt;&gt;""), "대기자", IF(R31=S31, "", IF(R31 &lt; S31, "대기자", "취업 중")))))</f>
        <v>취업 중</v>
      </c>
      <c r="U31" s="5" t="str">
        <f>IF(J31=""," ",IF(ISNUMBER(SEARCH("소형",J31)),"소형","대형"))</f>
        <v>대형</v>
      </c>
      <c r="V31" s="4">
        <v>43493</v>
      </c>
      <c r="W31" s="5"/>
      <c r="X31" s="5"/>
      <c r="Y31" s="5"/>
      <c r="Z31" s="13" t="s">
        <v>49</v>
      </c>
      <c r="AA31" s="13" t="s">
        <v>48</v>
      </c>
      <c r="AB31" s="13" t="s">
        <v>48</v>
      </c>
      <c r="AC31" s="13" t="s">
        <v>50</v>
      </c>
      <c r="AD31" s="13" t="s">
        <v>50</v>
      </c>
      <c r="AE31" s="14" t="s">
        <v>258</v>
      </c>
      <c r="AF31" s="14" t="s">
        <v>183</v>
      </c>
      <c r="AG31" s="14" t="s">
        <v>184</v>
      </c>
      <c r="AH31" s="14" t="s">
        <v>259</v>
      </c>
      <c r="AI31" s="6"/>
    </row>
    <row r="32" spans="1:35" ht="19.899999999999999" customHeight="1" x14ac:dyDescent="0.25">
      <c r="A32" s="5">
        <v>29</v>
      </c>
      <c r="B32" s="5" t="s">
        <v>33</v>
      </c>
      <c r="C32" s="5" t="s">
        <v>260</v>
      </c>
      <c r="D32" s="5" t="s">
        <v>67</v>
      </c>
      <c r="E32" s="5">
        <v>19661223</v>
      </c>
      <c r="F32" s="5" t="s">
        <v>36</v>
      </c>
      <c r="G32" s="5" t="s">
        <v>261</v>
      </c>
      <c r="H32" s="5" t="s">
        <v>38</v>
      </c>
      <c r="I32" s="5" t="s">
        <v>262</v>
      </c>
      <c r="J32" s="5" t="s">
        <v>263</v>
      </c>
      <c r="K32" s="5" t="s">
        <v>264</v>
      </c>
      <c r="L32" s="5" t="s">
        <v>265</v>
      </c>
      <c r="M32" s="5" t="s">
        <v>266</v>
      </c>
      <c r="N32" s="5" t="s">
        <v>267</v>
      </c>
      <c r="O32" s="5" t="s">
        <v>38</v>
      </c>
      <c r="P32" s="5" t="s">
        <v>268</v>
      </c>
      <c r="Q32" s="5" t="s">
        <v>269</v>
      </c>
      <c r="R32" s="4">
        <v>45806</v>
      </c>
      <c r="S32" s="4">
        <v>45430</v>
      </c>
      <c r="T32" s="5" t="str">
        <f>IF(AND(R32="", S32=""), "대기자", IF(AND(R32&lt;&gt;"", S32=""), "취업 중", IF(AND(R32="", S32&lt;&gt;""), "대기자", IF(R32=S32, "", IF(R32 &lt; S32, "대기자", "취업 중")))))</f>
        <v>취업 중</v>
      </c>
      <c r="U32" s="5" t="str">
        <f>IF(J32=""," ",IF(ISNUMBER(SEARCH("소형",J32)),"소형","대형"))</f>
        <v>대형</v>
      </c>
      <c r="V32" s="4">
        <v>42583</v>
      </c>
      <c r="W32" s="5"/>
      <c r="X32" s="5"/>
      <c r="Y32" s="5"/>
      <c r="Z32" s="13" t="s">
        <v>70</v>
      </c>
      <c r="AA32" s="13" t="s">
        <v>48</v>
      </c>
      <c r="AB32" s="13" t="s">
        <v>48</v>
      </c>
      <c r="AC32" s="13" t="s">
        <v>48</v>
      </c>
      <c r="AD32" s="13" t="s">
        <v>50</v>
      </c>
      <c r="AE32" s="15"/>
      <c r="AF32" s="15"/>
      <c r="AG32" s="15" t="s">
        <v>193</v>
      </c>
      <c r="AH32" s="15" t="s">
        <v>270</v>
      </c>
      <c r="AI32" s="6"/>
    </row>
    <row r="33" spans="1:35" ht="19.899999999999999" customHeight="1" x14ac:dyDescent="0.25">
      <c r="A33" s="5">
        <v>30</v>
      </c>
      <c r="B33" s="5" t="s">
        <v>33</v>
      </c>
      <c r="C33" s="5" t="s">
        <v>271</v>
      </c>
      <c r="D33" s="5" t="s">
        <v>144</v>
      </c>
      <c r="E33" s="5">
        <v>19721109</v>
      </c>
      <c r="F33" s="5" t="s">
        <v>36</v>
      </c>
      <c r="G33" s="5" t="s">
        <v>272</v>
      </c>
      <c r="H33" s="5" t="s">
        <v>38</v>
      </c>
      <c r="I33" s="5" t="s">
        <v>273</v>
      </c>
      <c r="J33" s="5" t="s">
        <v>198</v>
      </c>
      <c r="K33" s="5" t="s">
        <v>88</v>
      </c>
      <c r="L33" s="5" t="s">
        <v>199</v>
      </c>
      <c r="M33" s="5" t="s">
        <v>200</v>
      </c>
      <c r="N33" s="5" t="s">
        <v>201</v>
      </c>
      <c r="O33" s="5" t="s">
        <v>38</v>
      </c>
      <c r="P33" s="5" t="s">
        <v>132</v>
      </c>
      <c r="Q33" s="5" t="s">
        <v>202</v>
      </c>
      <c r="R33" s="4">
        <v>45792</v>
      </c>
      <c r="S33" s="4">
        <v>45453</v>
      </c>
      <c r="T33" s="5" t="str">
        <f>IF(AND(R33="", S33=""), "대기자", IF(AND(R33&lt;&gt;"", S33=""), "취업 중", IF(AND(R33="", S33&lt;&gt;""), "대기자", IF(R33=S33, "", IF(R33 &lt; S33, "대기자", "취업 중")))))</f>
        <v>취업 중</v>
      </c>
      <c r="U33" s="5" t="str">
        <f>IF(J33=""," ",IF(ISNUMBER(SEARCH("소형",J33)),"소형","대형"))</f>
        <v>대형</v>
      </c>
      <c r="V33" s="4">
        <v>40871</v>
      </c>
      <c r="W33" s="5"/>
      <c r="X33" s="5"/>
      <c r="Y33" s="5"/>
      <c r="Z33" s="13" t="s">
        <v>154</v>
      </c>
      <c r="AA33" s="13" t="s">
        <v>94</v>
      </c>
      <c r="AB33" s="13" t="s">
        <v>70</v>
      </c>
      <c r="AC33" s="13" t="s">
        <v>48</v>
      </c>
      <c r="AD33" s="13" t="s">
        <v>50</v>
      </c>
      <c r="AE33" s="14"/>
      <c r="AF33" s="14"/>
      <c r="AG33" s="14" t="s">
        <v>274</v>
      </c>
      <c r="AH33" s="14" t="s">
        <v>275</v>
      </c>
      <c r="AI33" s="6"/>
    </row>
    <row r="34" spans="1:35" ht="19.899999999999999" customHeight="1" x14ac:dyDescent="0.25">
      <c r="A34" s="5">
        <v>31</v>
      </c>
      <c r="B34" s="5" t="s">
        <v>33</v>
      </c>
      <c r="C34" s="5" t="s">
        <v>276</v>
      </c>
      <c r="D34" s="5" t="s">
        <v>56</v>
      </c>
      <c r="E34" s="5">
        <v>19700117</v>
      </c>
      <c r="F34" s="5" t="s">
        <v>36</v>
      </c>
      <c r="G34" s="5" t="s">
        <v>277</v>
      </c>
      <c r="H34" s="5" t="s">
        <v>278</v>
      </c>
      <c r="I34" s="5" t="s">
        <v>279</v>
      </c>
      <c r="J34" s="5"/>
      <c r="K34" s="5"/>
      <c r="L34" s="5"/>
      <c r="M34" s="5"/>
      <c r="N34" s="5"/>
      <c r="O34" s="5"/>
      <c r="P34" s="5"/>
      <c r="Q34" s="5"/>
      <c r="R34" s="4">
        <v>45734</v>
      </c>
      <c r="S34" s="4">
        <v>46199</v>
      </c>
      <c r="T34" s="5" t="str">
        <f>IF(AND(R34="", S34=""), "대기자", IF(AND(R34&lt;&gt;"", S34=""), "취업 중", IF(AND(R34="", S34&lt;&gt;""), "대기자", IF(R34=S34, "", IF(R34 &lt; S34, "대기자", "취업 중")))))</f>
        <v>대기자</v>
      </c>
      <c r="U34" s="5" t="str">
        <f>IF(J34=""," ",IF(ISNUMBER(SEARCH("소형",J34)),"소형","대형"))</f>
        <v xml:space="preserve"> </v>
      </c>
      <c r="V34" s="4">
        <v>42810</v>
      </c>
      <c r="W34" s="5"/>
      <c r="X34" s="5"/>
      <c r="Y34" s="5"/>
      <c r="Z34" s="13"/>
      <c r="AA34" s="13"/>
      <c r="AB34" s="13"/>
      <c r="AC34" s="13"/>
      <c r="AD34" s="13"/>
      <c r="AE34" s="15"/>
      <c r="AF34" s="15"/>
      <c r="AG34" s="15" t="s">
        <v>193</v>
      </c>
      <c r="AH34" s="15" t="s">
        <v>280</v>
      </c>
      <c r="AI34" s="6"/>
    </row>
    <row r="35" spans="1:35" ht="19.899999999999999" customHeight="1" x14ac:dyDescent="0.25">
      <c r="A35" s="5">
        <v>32</v>
      </c>
      <c r="B35" s="5" t="s">
        <v>33</v>
      </c>
      <c r="C35" s="5" t="s">
        <v>281</v>
      </c>
      <c r="D35" s="5" t="s">
        <v>72</v>
      </c>
      <c r="E35" s="5">
        <v>19730713</v>
      </c>
      <c r="F35" s="5" t="s">
        <v>36</v>
      </c>
      <c r="G35" s="5" t="s">
        <v>282</v>
      </c>
      <c r="H35" s="5" t="s">
        <v>38</v>
      </c>
      <c r="I35" s="5" t="s">
        <v>283</v>
      </c>
      <c r="J35" s="5" t="s">
        <v>59</v>
      </c>
      <c r="K35" s="5" t="s">
        <v>60</v>
      </c>
      <c r="L35" s="5" t="s">
        <v>61</v>
      </c>
      <c r="M35" s="5" t="s">
        <v>62</v>
      </c>
      <c r="N35" s="5" t="s">
        <v>63</v>
      </c>
      <c r="O35" s="5" t="s">
        <v>38</v>
      </c>
      <c r="P35" s="5" t="s">
        <v>64</v>
      </c>
      <c r="Q35" s="5" t="s">
        <v>65</v>
      </c>
      <c r="R35" s="4">
        <v>46245</v>
      </c>
      <c r="S35" s="4">
        <v>46094</v>
      </c>
      <c r="T35" s="5" t="str">
        <f>IF(AND(R35="", S35=""), "대기자", IF(AND(R35&lt;&gt;"", S35=""), "취업 중", IF(AND(R35="", S35&lt;&gt;""), "대기자", IF(R35=S35, "", IF(R35 &lt; S35, "대기자", "취업 중")))))</f>
        <v>취업 중</v>
      </c>
      <c r="U35" s="5" t="str">
        <f>IF(J35=""," ",IF(ISNUMBER(SEARCH("소형",J35)),"소형","대형"))</f>
        <v>대형</v>
      </c>
      <c r="V35" s="4">
        <v>42869</v>
      </c>
      <c r="W35" s="5"/>
      <c r="X35" s="5"/>
      <c r="Y35" s="5"/>
      <c r="Z35" s="13">
        <v>27</v>
      </c>
      <c r="AA35" s="13">
        <v>12</v>
      </c>
      <c r="AB35" s="13">
        <v>12</v>
      </c>
      <c r="AC35" s="13">
        <v>1</v>
      </c>
      <c r="AD35" s="13">
        <v>2</v>
      </c>
      <c r="AE35" s="14"/>
      <c r="AF35" s="14"/>
      <c r="AG35" s="14" t="s">
        <v>83</v>
      </c>
      <c r="AH35" s="14"/>
      <c r="AI35" s="6"/>
    </row>
    <row r="36" spans="1:35" ht="19.899999999999999" customHeight="1" x14ac:dyDescent="0.25">
      <c r="A36" s="5">
        <v>33</v>
      </c>
      <c r="B36" s="5" t="s">
        <v>33</v>
      </c>
      <c r="C36" s="5" t="s">
        <v>284</v>
      </c>
      <c r="D36" s="5" t="s">
        <v>285</v>
      </c>
      <c r="E36" s="5">
        <v>19800211</v>
      </c>
      <c r="F36" s="5" t="s">
        <v>36</v>
      </c>
      <c r="G36" s="5" t="s">
        <v>286</v>
      </c>
      <c r="H36" s="5" t="s">
        <v>38</v>
      </c>
      <c r="I36" s="5" t="s">
        <v>287</v>
      </c>
      <c r="J36" s="5"/>
      <c r="K36" s="5"/>
      <c r="L36" s="5"/>
      <c r="M36" s="5"/>
      <c r="N36" s="5"/>
      <c r="O36" s="5"/>
      <c r="P36" s="5"/>
      <c r="Q36" s="5"/>
      <c r="R36" s="4">
        <v>45536</v>
      </c>
      <c r="S36" s="4">
        <v>45975</v>
      </c>
      <c r="T36" s="5" t="str">
        <f>IF(AND(R36="", S36=""), "대기자", IF(AND(R36&lt;&gt;"", S36=""), "취업 중", IF(AND(R36="", S36&lt;&gt;""), "대기자", IF(R36=S36, "", IF(R36 &lt; S36, "대기자", "취업 중")))))</f>
        <v>대기자</v>
      </c>
      <c r="U36" s="5" t="str">
        <f>IF(J36=""," ",IF(ISNUMBER(SEARCH("소형",J36)),"소형","대형"))</f>
        <v xml:space="preserve"> </v>
      </c>
      <c r="V36" s="4">
        <v>45627</v>
      </c>
      <c r="W36" s="5"/>
      <c r="X36" s="5"/>
      <c r="Y36" s="5"/>
      <c r="Z36" s="13"/>
      <c r="AA36" s="13"/>
      <c r="AB36" s="13"/>
      <c r="AC36" s="13"/>
      <c r="AD36" s="13"/>
      <c r="AE36" s="15"/>
      <c r="AF36" s="15"/>
      <c r="AG36" s="15"/>
      <c r="AH36" s="15"/>
      <c r="AI36" s="6"/>
    </row>
    <row r="37" spans="1:35" ht="19.899999999999999" customHeight="1" x14ac:dyDescent="0.25">
      <c r="A37" s="5">
        <v>34</v>
      </c>
      <c r="B37" s="5" t="s">
        <v>33</v>
      </c>
      <c r="C37" s="5" t="s">
        <v>288</v>
      </c>
      <c r="D37" s="5" t="s">
        <v>99</v>
      </c>
      <c r="E37" s="5">
        <v>19731215</v>
      </c>
      <c r="F37" s="5" t="s">
        <v>36</v>
      </c>
      <c r="G37" s="5" t="s">
        <v>289</v>
      </c>
      <c r="H37" s="5" t="s">
        <v>38</v>
      </c>
      <c r="I37" s="5" t="s">
        <v>290</v>
      </c>
      <c r="J37" s="5" t="s">
        <v>147</v>
      </c>
      <c r="K37" s="5" t="s">
        <v>291</v>
      </c>
      <c r="L37" s="5" t="s">
        <v>292</v>
      </c>
      <c r="M37" s="5" t="s">
        <v>293</v>
      </c>
      <c r="N37" s="5" t="s">
        <v>294</v>
      </c>
      <c r="O37" s="5" t="s">
        <v>38</v>
      </c>
      <c r="P37" s="5" t="s">
        <v>64</v>
      </c>
      <c r="Q37" s="5" t="s">
        <v>295</v>
      </c>
      <c r="R37" s="4">
        <v>46206</v>
      </c>
      <c r="S37" s="4">
        <v>46046</v>
      </c>
      <c r="T37" s="5" t="str">
        <f>IF(AND(R37="", S37=""), "대기자", IF(AND(R37&lt;&gt;"", S37=""), "취업 중", IF(AND(R37="", S37&lt;&gt;""), "대기자", IF(R37=S37, "", IF(R37 &lt; S37, "대기자", "취업 중")))))</f>
        <v>취업 중</v>
      </c>
      <c r="U37" s="5" t="str">
        <f>IF(J37=""," ",IF(ISNUMBER(SEARCH("소형",J37)),"소형","대형"))</f>
        <v>대형</v>
      </c>
      <c r="V37" s="4">
        <v>38718</v>
      </c>
      <c r="W37" s="5"/>
      <c r="X37" s="5"/>
      <c r="Y37" s="5"/>
      <c r="Z37" s="13" t="s">
        <v>70</v>
      </c>
      <c r="AA37" s="13" t="s">
        <v>48</v>
      </c>
      <c r="AB37" s="13" t="s">
        <v>49</v>
      </c>
      <c r="AC37" s="13" t="s">
        <v>50</v>
      </c>
      <c r="AD37" s="13" t="s">
        <v>50</v>
      </c>
      <c r="AE37" s="14"/>
      <c r="AF37" s="14"/>
      <c r="AG37" s="14"/>
      <c r="AH37" s="14"/>
      <c r="AI37" s="6"/>
    </row>
    <row r="38" spans="1:35" ht="19.899999999999999" customHeight="1" x14ac:dyDescent="0.25">
      <c r="A38" s="5">
        <v>35</v>
      </c>
      <c r="B38" s="5" t="s">
        <v>33</v>
      </c>
      <c r="C38" s="5" t="s">
        <v>296</v>
      </c>
      <c r="D38" s="5" t="s">
        <v>179</v>
      </c>
      <c r="E38" s="5">
        <v>19750326</v>
      </c>
      <c r="F38" s="5" t="s">
        <v>36</v>
      </c>
      <c r="G38" s="5" t="s">
        <v>297</v>
      </c>
      <c r="H38" s="5" t="s">
        <v>298</v>
      </c>
      <c r="I38" s="5" t="s">
        <v>299</v>
      </c>
      <c r="J38" s="5" t="s">
        <v>102</v>
      </c>
      <c r="K38" s="5" t="s">
        <v>102</v>
      </c>
      <c r="L38" s="5" t="s">
        <v>300</v>
      </c>
      <c r="M38" s="5"/>
      <c r="N38" s="5"/>
      <c r="O38" s="5" t="s">
        <v>38</v>
      </c>
      <c r="P38" s="5" t="s">
        <v>152</v>
      </c>
      <c r="Q38" s="5" t="s">
        <v>301</v>
      </c>
      <c r="R38" s="4">
        <v>46266</v>
      </c>
      <c r="S38" s="4">
        <v>45938</v>
      </c>
      <c r="T38" s="5" t="str">
        <f>IF(AND(R38="", S38=""), "대기자", IF(AND(R38&lt;&gt;"", S38=""), "취업 중", IF(AND(R38="", S38&lt;&gt;""), "대기자", IF(R38=S38, "", IF(R38 &lt; S38, "대기자", "취업 중")))))</f>
        <v>취업 중</v>
      </c>
      <c r="U38" s="5" t="str">
        <f>IF(J38=""," ",IF(ISNUMBER(SEARCH("소형",J38)),"소형","대형"))</f>
        <v>소형</v>
      </c>
      <c r="V38" s="4">
        <v>45627</v>
      </c>
      <c r="W38" s="5"/>
      <c r="X38" s="5" t="s">
        <v>302</v>
      </c>
      <c r="Y38" s="5" t="s">
        <v>303</v>
      </c>
      <c r="Z38" s="13"/>
      <c r="AA38" s="13"/>
      <c r="AB38" s="13"/>
      <c r="AC38" s="13"/>
      <c r="AD38" s="13"/>
      <c r="AE38" s="15"/>
      <c r="AF38" s="15"/>
      <c r="AG38" s="15"/>
      <c r="AH38" s="15"/>
      <c r="AI38" s="6"/>
    </row>
    <row r="39" spans="1:35" ht="19.899999999999999" customHeight="1" x14ac:dyDescent="0.25">
      <c r="A39" s="5">
        <v>36</v>
      </c>
      <c r="B39" s="5" t="s">
        <v>33</v>
      </c>
      <c r="C39" s="5" t="s">
        <v>304</v>
      </c>
      <c r="D39" s="5" t="s">
        <v>35</v>
      </c>
      <c r="E39" s="5">
        <v>19690430</v>
      </c>
      <c r="F39" s="5" t="s">
        <v>36</v>
      </c>
      <c r="G39" s="5" t="s">
        <v>305</v>
      </c>
      <c r="H39" s="5" t="s">
        <v>38</v>
      </c>
      <c r="I39" s="5" t="s">
        <v>306</v>
      </c>
      <c r="J39" s="5" t="s">
        <v>307</v>
      </c>
      <c r="K39" s="5" t="s">
        <v>308</v>
      </c>
      <c r="L39" s="5" t="s">
        <v>309</v>
      </c>
      <c r="M39" s="5" t="s">
        <v>310</v>
      </c>
      <c r="N39" s="5" t="s">
        <v>311</v>
      </c>
      <c r="O39" s="5" t="s">
        <v>38</v>
      </c>
      <c r="P39" s="5" t="s">
        <v>45</v>
      </c>
      <c r="Q39" s="5" t="s">
        <v>312</v>
      </c>
      <c r="R39" s="4">
        <v>45996</v>
      </c>
      <c r="S39" s="4">
        <v>45488</v>
      </c>
      <c r="T39" s="5" t="str">
        <f>IF(AND(R39="", S39=""), "대기자", IF(AND(R39&lt;&gt;"", S39=""), "취업 중", IF(AND(R39="", S39&lt;&gt;""), "대기자", IF(R39=S39, "", IF(R39 &lt; S39, "대기자", "취업 중")))))</f>
        <v>취업 중</v>
      </c>
      <c r="U39" s="5" t="str">
        <f>IF(J39=""," ",IF(ISNUMBER(SEARCH("소형",J39)),"소형","대형"))</f>
        <v>대형</v>
      </c>
      <c r="V39" s="4">
        <v>42774</v>
      </c>
      <c r="W39" s="5"/>
      <c r="X39" s="5"/>
      <c r="Y39" s="5"/>
      <c r="Z39" s="13" t="s">
        <v>167</v>
      </c>
      <c r="AA39" s="13" t="s">
        <v>49</v>
      </c>
      <c r="AB39" s="13" t="s">
        <v>70</v>
      </c>
      <c r="AC39" s="13" t="s">
        <v>48</v>
      </c>
      <c r="AD39" s="13" t="s">
        <v>47</v>
      </c>
      <c r="AE39" s="14"/>
      <c r="AF39" s="14"/>
      <c r="AG39" s="14" t="s">
        <v>83</v>
      </c>
      <c r="AH39" s="14" t="s">
        <v>313</v>
      </c>
      <c r="AI39" s="6"/>
    </row>
    <row r="40" spans="1:35" ht="19.899999999999999" customHeight="1" x14ac:dyDescent="0.25">
      <c r="A40" s="5">
        <v>37</v>
      </c>
      <c r="B40" s="5" t="s">
        <v>33</v>
      </c>
      <c r="C40" s="5" t="s">
        <v>314</v>
      </c>
      <c r="D40" s="5" t="s">
        <v>72</v>
      </c>
      <c r="E40" s="5">
        <v>19740510</v>
      </c>
      <c r="F40" s="5" t="s">
        <v>36</v>
      </c>
      <c r="G40" s="5" t="s">
        <v>315</v>
      </c>
      <c r="H40" s="5" t="s">
        <v>38</v>
      </c>
      <c r="I40" s="5" t="s">
        <v>316</v>
      </c>
      <c r="J40" s="5" t="s">
        <v>159</v>
      </c>
      <c r="K40" s="5" t="s">
        <v>224</v>
      </c>
      <c r="L40" s="5" t="s">
        <v>225</v>
      </c>
      <c r="M40" s="5" t="s">
        <v>226</v>
      </c>
      <c r="N40" s="5" t="s">
        <v>227</v>
      </c>
      <c r="O40" s="5" t="s">
        <v>38</v>
      </c>
      <c r="P40" s="5" t="s">
        <v>64</v>
      </c>
      <c r="Q40" s="5" t="s">
        <v>228</v>
      </c>
      <c r="R40" s="4">
        <v>46108</v>
      </c>
      <c r="S40" s="4">
        <v>45640</v>
      </c>
      <c r="T40" s="5" t="str">
        <f>IF(AND(R40="", S40=""), "대기자", IF(AND(R40&lt;&gt;"", S40=""), "취업 중", IF(AND(R40="", S40&lt;&gt;""), "대기자", IF(R40=S40, "", IF(R40 &lt; S40, "대기자", "취업 중")))))</f>
        <v>취업 중</v>
      </c>
      <c r="U40" s="5" t="str">
        <f>IF(J40=""," ",IF(ISNUMBER(SEARCH("소형",J40)),"소형","대형"))</f>
        <v>대형</v>
      </c>
      <c r="V40" s="4">
        <v>41018</v>
      </c>
      <c r="W40" s="5"/>
      <c r="X40" s="5"/>
      <c r="Y40" s="5"/>
      <c r="Z40" s="13" t="s">
        <v>82</v>
      </c>
      <c r="AA40" s="13" t="s">
        <v>49</v>
      </c>
      <c r="AB40" s="13" t="s">
        <v>70</v>
      </c>
      <c r="AC40" s="13" t="s">
        <v>50</v>
      </c>
      <c r="AD40" s="13" t="s">
        <v>48</v>
      </c>
      <c r="AE40" s="15"/>
      <c r="AF40" s="15"/>
      <c r="AG40" s="15"/>
      <c r="AH40" s="15" t="s">
        <v>317</v>
      </c>
      <c r="AI40" s="6"/>
    </row>
    <row r="41" spans="1:35" ht="19.899999999999999" customHeight="1" x14ac:dyDescent="0.25">
      <c r="A41" s="5">
        <v>38</v>
      </c>
      <c r="B41" s="5" t="s">
        <v>33</v>
      </c>
      <c r="C41" s="5" t="s">
        <v>318</v>
      </c>
      <c r="D41" s="5" t="s">
        <v>179</v>
      </c>
      <c r="E41" s="5">
        <v>19630404</v>
      </c>
      <c r="F41" s="5" t="s">
        <v>36</v>
      </c>
      <c r="G41" s="5" t="s">
        <v>319</v>
      </c>
      <c r="H41" s="5" t="s">
        <v>38</v>
      </c>
      <c r="I41" s="5" t="s">
        <v>320</v>
      </c>
      <c r="J41" s="5" t="s">
        <v>75</v>
      </c>
      <c r="K41" s="5" t="s">
        <v>321</v>
      </c>
      <c r="L41" s="5" t="s">
        <v>322</v>
      </c>
      <c r="M41" s="5" t="s">
        <v>323</v>
      </c>
      <c r="N41" s="5" t="s">
        <v>324</v>
      </c>
      <c r="O41" s="5" t="s">
        <v>38</v>
      </c>
      <c r="P41" s="5" t="s">
        <v>64</v>
      </c>
      <c r="Q41" s="5" t="s">
        <v>325</v>
      </c>
      <c r="R41" s="4">
        <v>45859</v>
      </c>
      <c r="S41" s="4">
        <v>45423</v>
      </c>
      <c r="T41" s="5" t="str">
        <f>IF(AND(R41="", S41=""), "대기자", IF(AND(R41&lt;&gt;"", S41=""), "취업 중", IF(AND(R41="", S41&lt;&gt;""), "대기자", IF(R41=S41, "", IF(R41 &lt; S41, "대기자", "취업 중")))))</f>
        <v>취업 중</v>
      </c>
      <c r="U41" s="5" t="str">
        <f>IF(J41=""," ",IF(ISNUMBER(SEARCH("소형",J41)),"소형","대형"))</f>
        <v>대형</v>
      </c>
      <c r="V41" s="4">
        <v>40785</v>
      </c>
      <c r="W41" s="5"/>
      <c r="X41" s="5"/>
      <c r="Y41" s="5"/>
      <c r="Z41" s="13" t="s">
        <v>94</v>
      </c>
      <c r="AA41" s="13" t="s">
        <v>49</v>
      </c>
      <c r="AB41" s="13" t="s">
        <v>49</v>
      </c>
      <c r="AC41" s="13" t="s">
        <v>50</v>
      </c>
      <c r="AD41" s="13" t="s">
        <v>48</v>
      </c>
      <c r="AE41" s="14" t="s">
        <v>182</v>
      </c>
      <c r="AF41" s="14" t="s">
        <v>183</v>
      </c>
      <c r="AG41" s="14" t="s">
        <v>83</v>
      </c>
      <c r="AH41" s="14" t="s">
        <v>326</v>
      </c>
      <c r="AI41" s="6"/>
    </row>
    <row r="42" spans="1:35" ht="19.899999999999999" customHeight="1" x14ac:dyDescent="0.25">
      <c r="A42" s="5">
        <v>39</v>
      </c>
      <c r="B42" s="5" t="s">
        <v>33</v>
      </c>
      <c r="C42" s="5" t="s">
        <v>327</v>
      </c>
      <c r="D42" s="5" t="s">
        <v>179</v>
      </c>
      <c r="E42" s="5">
        <v>19960730</v>
      </c>
      <c r="F42" s="5" t="s">
        <v>36</v>
      </c>
      <c r="G42" s="5" t="s">
        <v>328</v>
      </c>
      <c r="H42" s="5" t="s">
        <v>38</v>
      </c>
      <c r="I42" s="5" t="s">
        <v>329</v>
      </c>
      <c r="J42" s="5"/>
      <c r="K42" s="5"/>
      <c r="L42" s="5"/>
      <c r="M42" s="5"/>
      <c r="N42" s="5"/>
      <c r="O42" s="5"/>
      <c r="P42" s="5"/>
      <c r="Q42" s="5"/>
      <c r="R42" s="4">
        <v>45152</v>
      </c>
      <c r="S42" s="4">
        <v>45888</v>
      </c>
      <c r="T42" s="5" t="str">
        <f>IF(AND(R42="", S42=""), "대기자", IF(AND(R42&lt;&gt;"", S42=""), "취업 중", IF(AND(R42="", S42&lt;&gt;""), "대기자", IF(R42=S42, "", IF(R42 &lt; S42, "대기자", "취업 중")))))</f>
        <v>대기자</v>
      </c>
      <c r="U42" s="5" t="str">
        <f>IF(J42=""," ",IF(ISNUMBER(SEARCH("소형",J42)),"소형","대형"))</f>
        <v xml:space="preserve"> </v>
      </c>
      <c r="V42" s="4">
        <v>43632</v>
      </c>
      <c r="W42" s="5"/>
      <c r="X42" s="5"/>
      <c r="Y42" s="5"/>
      <c r="Z42" s="13"/>
      <c r="AA42" s="13"/>
      <c r="AB42" s="13"/>
      <c r="AC42" s="13"/>
      <c r="AD42" s="13"/>
      <c r="AE42" s="15"/>
      <c r="AF42" s="15"/>
      <c r="AG42" s="15"/>
      <c r="AH42" s="15"/>
      <c r="AI42" s="6"/>
    </row>
    <row r="43" spans="1:35" ht="19.899999999999999" customHeight="1" x14ac:dyDescent="0.25">
      <c r="A43" s="5">
        <v>40</v>
      </c>
      <c r="B43" s="5" t="s">
        <v>33</v>
      </c>
      <c r="C43" s="5" t="s">
        <v>330</v>
      </c>
      <c r="D43" s="5" t="s">
        <v>56</v>
      </c>
      <c r="E43" s="5">
        <v>19770629</v>
      </c>
      <c r="F43" s="5" t="s">
        <v>36</v>
      </c>
      <c r="G43" s="5" t="s">
        <v>331</v>
      </c>
      <c r="H43" s="5" t="s">
        <v>38</v>
      </c>
      <c r="I43" s="5" t="s">
        <v>332</v>
      </c>
      <c r="J43" s="5"/>
      <c r="K43" s="5"/>
      <c r="L43" s="5"/>
      <c r="M43" s="5"/>
      <c r="N43" s="5"/>
      <c r="O43" s="5"/>
      <c r="P43" s="5"/>
      <c r="Q43" s="5"/>
      <c r="R43" s="4">
        <v>45110</v>
      </c>
      <c r="S43" s="4">
        <v>46171</v>
      </c>
      <c r="T43" s="5" t="str">
        <f>IF(AND(R43="", S43=""), "대기자", IF(AND(R43&lt;&gt;"", S43=""), "취업 중", IF(AND(R43="", S43&lt;&gt;""), "대기자", IF(R43=S43, "", IF(R43 &lt; S43, "대기자", "취업 중")))))</f>
        <v>대기자</v>
      </c>
      <c r="U43" s="5" t="str">
        <f>IF(J43=""," ",IF(ISNUMBER(SEARCH("소형",J43)),"소형","대형"))</f>
        <v xml:space="preserve"> </v>
      </c>
      <c r="V43" s="4">
        <v>42614</v>
      </c>
      <c r="W43" s="5"/>
      <c r="X43" s="5"/>
      <c r="Y43" s="5"/>
      <c r="Z43" s="13"/>
      <c r="AA43" s="13"/>
      <c r="AB43" s="13"/>
      <c r="AC43" s="13"/>
      <c r="AD43" s="13"/>
      <c r="AE43" s="14"/>
      <c r="AF43" s="14"/>
      <c r="AG43" s="14"/>
      <c r="AH43" s="14"/>
      <c r="AI43" s="6"/>
    </row>
    <row r="44" spans="1:35" ht="19.899999999999999" customHeight="1" x14ac:dyDescent="0.25">
      <c r="A44" s="5">
        <v>41</v>
      </c>
      <c r="B44" s="5" t="s">
        <v>33</v>
      </c>
      <c r="C44" s="5" t="s">
        <v>333</v>
      </c>
      <c r="D44" s="5" t="s">
        <v>72</v>
      </c>
      <c r="E44" s="5">
        <v>19711121</v>
      </c>
      <c r="F44" s="5" t="s">
        <v>36</v>
      </c>
      <c r="G44" s="5" t="s">
        <v>334</v>
      </c>
      <c r="H44" s="5" t="s">
        <v>38</v>
      </c>
      <c r="I44" s="5" t="s">
        <v>335</v>
      </c>
      <c r="J44" s="5"/>
      <c r="K44" s="5"/>
      <c r="L44" s="5"/>
      <c r="M44" s="5"/>
      <c r="N44" s="5"/>
      <c r="O44" s="5"/>
      <c r="P44" s="5"/>
      <c r="Q44" s="5"/>
      <c r="R44" s="4">
        <v>45678</v>
      </c>
      <c r="S44" s="4">
        <v>46273</v>
      </c>
      <c r="T44" s="5" t="str">
        <f>IF(AND(R44="", S44=""), "대기자", IF(AND(R44&lt;&gt;"", S44=""), "취업 중", IF(AND(R44="", S44&lt;&gt;""), "대기자", IF(R44=S44, "", IF(R44 &lt; S44, "대기자", "취업 중")))))</f>
        <v>대기자</v>
      </c>
      <c r="U44" s="5" t="str">
        <f>IF(J44=""," ",IF(ISNUMBER(SEARCH("소형",J44)),"소형","대형"))</f>
        <v xml:space="preserve"> </v>
      </c>
      <c r="V44" s="4">
        <v>38047</v>
      </c>
      <c r="W44" s="5"/>
      <c r="X44" s="5"/>
      <c r="Y44" s="5"/>
      <c r="Z44" s="13"/>
      <c r="AA44" s="13"/>
      <c r="AB44" s="13"/>
      <c r="AC44" s="13"/>
      <c r="AD44" s="13"/>
      <c r="AE44" s="15"/>
      <c r="AF44" s="15"/>
      <c r="AG44" s="15" t="s">
        <v>336</v>
      </c>
      <c r="AH44" s="15" t="s">
        <v>337</v>
      </c>
      <c r="AI44" s="6"/>
    </row>
    <row r="45" spans="1:35" ht="19.899999999999999" customHeight="1" x14ac:dyDescent="0.25">
      <c r="A45" s="5">
        <v>42</v>
      </c>
      <c r="B45" s="5" t="s">
        <v>33</v>
      </c>
      <c r="C45" s="5" t="s">
        <v>338</v>
      </c>
      <c r="D45" s="5" t="s">
        <v>72</v>
      </c>
      <c r="E45" s="5">
        <v>19720907</v>
      </c>
      <c r="F45" s="5" t="s">
        <v>36</v>
      </c>
      <c r="G45" s="5" t="s">
        <v>339</v>
      </c>
      <c r="H45" s="5" t="s">
        <v>38</v>
      </c>
      <c r="I45" s="5" t="s">
        <v>340</v>
      </c>
      <c r="J45" s="5"/>
      <c r="K45" s="5"/>
      <c r="L45" s="5"/>
      <c r="M45" s="5"/>
      <c r="N45" s="5"/>
      <c r="O45" s="5"/>
      <c r="P45" s="5"/>
      <c r="Q45" s="5"/>
      <c r="R45" s="4">
        <v>45940</v>
      </c>
      <c r="S45" s="4">
        <v>46288</v>
      </c>
      <c r="T45" s="5" t="str">
        <f>IF(AND(R45="", S45=""), "대기자", IF(AND(R45&lt;&gt;"", S45=""), "취업 중", IF(AND(R45="", S45&lt;&gt;""), "대기자", IF(R45=S45, "", IF(R45 &lt; S45, "대기자", "취업 중")))))</f>
        <v>대기자</v>
      </c>
      <c r="U45" s="5"/>
      <c r="V45" s="4">
        <v>42577</v>
      </c>
      <c r="W45" s="5"/>
      <c r="X45" s="5"/>
      <c r="Y45" s="5"/>
      <c r="Z45" s="13"/>
      <c r="AA45" s="13"/>
      <c r="AB45" s="13"/>
      <c r="AC45" s="13"/>
      <c r="AD45" s="13"/>
      <c r="AE45" s="14"/>
      <c r="AF45" s="14"/>
      <c r="AG45" s="14" t="s">
        <v>184</v>
      </c>
      <c r="AH45" s="14" t="s">
        <v>341</v>
      </c>
      <c r="AI45" s="6"/>
    </row>
    <row r="46" spans="1:35" ht="19.899999999999999" customHeight="1" x14ac:dyDescent="0.25">
      <c r="A46" s="5">
        <v>43</v>
      </c>
      <c r="B46" s="5" t="s">
        <v>33</v>
      </c>
      <c r="C46" s="5" t="s">
        <v>342</v>
      </c>
      <c r="D46" s="5" t="s">
        <v>72</v>
      </c>
      <c r="E46" s="5">
        <v>19731213</v>
      </c>
      <c r="F46" s="5" t="s">
        <v>36</v>
      </c>
      <c r="G46" s="5" t="s">
        <v>343</v>
      </c>
      <c r="H46" s="5" t="s">
        <v>38</v>
      </c>
      <c r="I46" s="5" t="s">
        <v>344</v>
      </c>
      <c r="J46" s="5"/>
      <c r="K46" s="5"/>
      <c r="L46" s="5"/>
      <c r="M46" s="5"/>
      <c r="N46" s="5"/>
      <c r="O46" s="5"/>
      <c r="P46" s="5"/>
      <c r="Q46" s="5"/>
      <c r="R46" s="4">
        <v>45803</v>
      </c>
      <c r="S46" s="4">
        <v>46087</v>
      </c>
      <c r="T46" s="5" t="str">
        <f>IF(AND(R46="", S46=""), "대기자", IF(AND(R46&lt;&gt;"", S46=""), "취업 중", IF(AND(R46="", S46&lt;&gt;""), "대기자", IF(R46=S46, "", IF(R46 &lt; S46, "대기자", "취업 중")))))</f>
        <v>대기자</v>
      </c>
      <c r="U46" s="5" t="str">
        <f>IF(J46=""," ",IF(ISNUMBER(SEARCH("소형",J46)),"소형","대형"))</f>
        <v xml:space="preserve"> </v>
      </c>
      <c r="V46" s="4">
        <v>41791</v>
      </c>
      <c r="W46" s="5"/>
      <c r="X46" s="5"/>
      <c r="Y46" s="5"/>
      <c r="Z46" s="13"/>
      <c r="AA46" s="13"/>
      <c r="AB46" s="13"/>
      <c r="AC46" s="13"/>
      <c r="AD46" s="13"/>
      <c r="AE46" s="15"/>
      <c r="AF46" s="15"/>
      <c r="AG46" s="15" t="s">
        <v>83</v>
      </c>
      <c r="AH46" s="15"/>
      <c r="AI46" s="6"/>
    </row>
    <row r="47" spans="1:35" ht="19.899999999999999" customHeight="1" x14ac:dyDescent="0.25">
      <c r="A47" s="5">
        <v>44</v>
      </c>
      <c r="B47" s="5" t="s">
        <v>33</v>
      </c>
      <c r="C47" s="5" t="s">
        <v>345</v>
      </c>
      <c r="D47" s="5" t="s">
        <v>56</v>
      </c>
      <c r="E47" s="5">
        <v>19771009</v>
      </c>
      <c r="F47" s="5" t="s">
        <v>36</v>
      </c>
      <c r="G47" s="5" t="s">
        <v>346</v>
      </c>
      <c r="H47" s="5" t="s">
        <v>347</v>
      </c>
      <c r="I47" s="5" t="s">
        <v>348</v>
      </c>
      <c r="J47" s="5" t="s">
        <v>211</v>
      </c>
      <c r="K47" s="5" t="s">
        <v>76</v>
      </c>
      <c r="L47" s="5" t="s">
        <v>212</v>
      </c>
      <c r="M47" s="5" t="s">
        <v>213</v>
      </c>
      <c r="N47" s="5" t="s">
        <v>214</v>
      </c>
      <c r="O47" s="5" t="s">
        <v>38</v>
      </c>
      <c r="P47" s="5" t="s">
        <v>215</v>
      </c>
      <c r="Q47" s="5" t="s">
        <v>216</v>
      </c>
      <c r="R47" s="4">
        <v>45818</v>
      </c>
      <c r="S47" s="4">
        <v>45463</v>
      </c>
      <c r="T47" s="5" t="str">
        <f>IF(AND(R47="", S47=""), "대기자", IF(AND(R47&lt;&gt;"", S47=""), "취업 중", IF(AND(R47="", S47&lt;&gt;""), "대기자", IF(R47=S47, "", IF(R47 &lt; S47, "대기자", "취업 중")))))</f>
        <v>취업 중</v>
      </c>
      <c r="U47" s="5" t="str">
        <f>IF(J47=""," ",IF(ISNUMBER(SEARCH("소형",J47)),"소형","대형"))</f>
        <v>대형</v>
      </c>
      <c r="V47" s="4">
        <v>43023</v>
      </c>
      <c r="W47" s="5"/>
      <c r="X47" s="5"/>
      <c r="Y47" s="5"/>
      <c r="Z47" s="13" t="s">
        <v>94</v>
      </c>
      <c r="AA47" s="13" t="s">
        <v>49</v>
      </c>
      <c r="AB47" s="13" t="s">
        <v>49</v>
      </c>
      <c r="AC47" s="13" t="s">
        <v>50</v>
      </c>
      <c r="AD47" s="13" t="s">
        <v>48</v>
      </c>
      <c r="AE47" s="14"/>
      <c r="AF47" s="14"/>
      <c r="AG47" s="14" t="s">
        <v>193</v>
      </c>
      <c r="AH47" s="14" t="s">
        <v>349</v>
      </c>
      <c r="AI47" s="6"/>
    </row>
    <row r="48" spans="1:35" ht="19.899999999999999" customHeight="1" x14ac:dyDescent="0.25">
      <c r="A48" s="5">
        <v>45</v>
      </c>
      <c r="B48" s="5" t="s">
        <v>33</v>
      </c>
      <c r="C48" s="5" t="s">
        <v>350</v>
      </c>
      <c r="D48" s="5" t="s">
        <v>179</v>
      </c>
      <c r="E48" s="5">
        <v>19681206</v>
      </c>
      <c r="F48" s="5" t="s">
        <v>36</v>
      </c>
      <c r="G48" s="5" t="s">
        <v>351</v>
      </c>
      <c r="H48" s="5" t="s">
        <v>38</v>
      </c>
      <c r="I48" s="5" t="s">
        <v>352</v>
      </c>
      <c r="J48" s="5" t="s">
        <v>211</v>
      </c>
      <c r="K48" s="5" t="s">
        <v>353</v>
      </c>
      <c r="L48" s="5" t="s">
        <v>354</v>
      </c>
      <c r="M48" s="5" t="s">
        <v>355</v>
      </c>
      <c r="N48" s="5" t="s">
        <v>356</v>
      </c>
      <c r="O48" s="5" t="s">
        <v>38</v>
      </c>
      <c r="P48" s="5" t="s">
        <v>357</v>
      </c>
      <c r="Q48" s="5" t="s">
        <v>358</v>
      </c>
      <c r="R48" s="4">
        <v>46287</v>
      </c>
      <c r="S48" s="4">
        <v>45826</v>
      </c>
      <c r="T48" s="5" t="str">
        <f>IF(AND(R48="", S48=""), "대기자", IF(AND(R48&lt;&gt;"", S48=""), "취업 중", IF(AND(R48="", S48&lt;&gt;""), "대기자", IF(R48=S48, "", IF(R48 &lt; S48, "대기자", "취업 중")))))</f>
        <v>취업 중</v>
      </c>
      <c r="U48" s="5" t="str">
        <f>IF(J48=""," ",IF(ISNUMBER(SEARCH("소형",J48)),"소형","대형"))</f>
        <v>대형</v>
      </c>
      <c r="V48" s="4">
        <v>38718</v>
      </c>
      <c r="W48" s="5"/>
      <c r="X48" s="5"/>
      <c r="Y48" s="5"/>
      <c r="Z48" s="17">
        <v>4</v>
      </c>
      <c r="AA48" s="17">
        <v>1</v>
      </c>
      <c r="AB48" s="17">
        <v>1</v>
      </c>
      <c r="AC48" s="17"/>
      <c r="AD48" s="17"/>
      <c r="AE48" s="15"/>
      <c r="AF48" s="15"/>
      <c r="AG48" s="15"/>
      <c r="AH48" s="15"/>
      <c r="AI48" s="6">
        <v>2</v>
      </c>
    </row>
    <row r="49" spans="1:35" ht="19.899999999999999" customHeight="1" x14ac:dyDescent="0.25">
      <c r="A49" s="5">
        <v>46</v>
      </c>
      <c r="B49" s="5" t="s">
        <v>33</v>
      </c>
      <c r="C49" s="5" t="s">
        <v>359</v>
      </c>
      <c r="D49" s="5" t="s">
        <v>72</v>
      </c>
      <c r="E49" s="5">
        <v>19691001</v>
      </c>
      <c r="F49" s="5" t="s">
        <v>36</v>
      </c>
      <c r="G49" s="5" t="s">
        <v>360</v>
      </c>
      <c r="H49" s="5" t="s">
        <v>38</v>
      </c>
      <c r="I49" s="5" t="s">
        <v>361</v>
      </c>
      <c r="J49" s="5" t="s">
        <v>211</v>
      </c>
      <c r="K49" s="5" t="s">
        <v>88</v>
      </c>
      <c r="L49" s="5" t="s">
        <v>362</v>
      </c>
      <c r="M49" s="5" t="s">
        <v>363</v>
      </c>
      <c r="N49" s="5" t="s">
        <v>364</v>
      </c>
      <c r="O49" s="5" t="s">
        <v>278</v>
      </c>
      <c r="P49" s="5" t="s">
        <v>365</v>
      </c>
      <c r="Q49" s="5" t="s">
        <v>366</v>
      </c>
      <c r="R49" s="4">
        <v>45678</v>
      </c>
      <c r="S49" s="4">
        <v>45443</v>
      </c>
      <c r="T49" s="5" t="str">
        <f>IF(AND(R49="", S49=""), "대기자", IF(AND(R49&lt;&gt;"", S49=""), "취업 중", IF(AND(R49="", S49&lt;&gt;""), "대기자", IF(R49=S49, "", IF(R49 &lt; S49, "대기자", "취업 중")))))</f>
        <v>취업 중</v>
      </c>
      <c r="U49" s="5" t="str">
        <f>IF(J49=""," ",IF(ISNUMBER(SEARCH("소형",J49)),"소형","대형"))</f>
        <v>대형</v>
      </c>
      <c r="V49" s="4">
        <v>42198</v>
      </c>
      <c r="W49" s="5"/>
      <c r="X49" s="5"/>
      <c r="Y49" s="5"/>
      <c r="Z49" s="13" t="s">
        <v>70</v>
      </c>
      <c r="AA49" s="13" t="s">
        <v>49</v>
      </c>
      <c r="AB49" s="13" t="s">
        <v>48</v>
      </c>
      <c r="AC49" s="13" t="s">
        <v>50</v>
      </c>
      <c r="AD49" s="13" t="s">
        <v>50</v>
      </c>
      <c r="AE49" s="14"/>
      <c r="AF49" s="14"/>
      <c r="AG49" s="14" t="s">
        <v>367</v>
      </c>
      <c r="AH49" s="14" t="s">
        <v>368</v>
      </c>
      <c r="AI49" s="6"/>
    </row>
    <row r="50" spans="1:35" ht="19.899999999999999" customHeight="1" x14ac:dyDescent="0.25">
      <c r="A50" s="5">
        <v>47</v>
      </c>
      <c r="B50" s="5" t="s">
        <v>33</v>
      </c>
      <c r="C50" s="5" t="s">
        <v>369</v>
      </c>
      <c r="D50" s="5" t="s">
        <v>72</v>
      </c>
      <c r="E50" s="5">
        <v>19690801</v>
      </c>
      <c r="F50" s="5" t="s">
        <v>36</v>
      </c>
      <c r="G50" s="5" t="s">
        <v>370</v>
      </c>
      <c r="H50" s="5" t="s">
        <v>38</v>
      </c>
      <c r="I50" s="5" t="s">
        <v>371</v>
      </c>
      <c r="J50" s="5"/>
      <c r="K50" s="5"/>
      <c r="L50" s="5"/>
      <c r="M50" s="5"/>
      <c r="N50" s="5"/>
      <c r="O50" s="5"/>
      <c r="P50" s="5"/>
      <c r="Q50" s="5"/>
      <c r="R50" s="4">
        <v>45846</v>
      </c>
      <c r="S50" s="4">
        <v>46277</v>
      </c>
      <c r="T50" s="5" t="str">
        <f>IF(AND(R50="", S50=""), "대기자", IF(AND(R50&lt;&gt;"", S50=""), "취업 중", IF(AND(R50="", S50&lt;&gt;""), "대기자", IF(R50=S50, "", IF(R50 &lt; S50, "대기자", "취업 중")))))</f>
        <v>대기자</v>
      </c>
      <c r="U50" s="5" t="str">
        <f>IF(J50=""," ",IF(ISNUMBER(SEARCH("소형",J50)),"소형","대형"))</f>
        <v xml:space="preserve"> </v>
      </c>
      <c r="V50" s="4">
        <v>42301</v>
      </c>
      <c r="W50" s="5"/>
      <c r="X50" s="5"/>
      <c r="Y50" s="5"/>
      <c r="Z50" s="13"/>
      <c r="AA50" s="13"/>
      <c r="AB50" s="13"/>
      <c r="AC50" s="13"/>
      <c r="AD50" s="13"/>
      <c r="AE50" s="15"/>
      <c r="AF50" s="15"/>
      <c r="AG50" s="15" t="s">
        <v>372</v>
      </c>
      <c r="AH50" s="15" t="s">
        <v>373</v>
      </c>
      <c r="AI50" s="6"/>
    </row>
    <row r="51" spans="1:35" ht="19.899999999999999" customHeight="1" x14ac:dyDescent="0.25">
      <c r="A51" s="5">
        <v>48</v>
      </c>
      <c r="B51" s="5" t="s">
        <v>33</v>
      </c>
      <c r="C51" s="5" t="s">
        <v>374</v>
      </c>
      <c r="D51" s="5" t="s">
        <v>72</v>
      </c>
      <c r="E51" s="5">
        <v>19770523</v>
      </c>
      <c r="F51" s="5" t="s">
        <v>36</v>
      </c>
      <c r="G51" s="5" t="s">
        <v>375</v>
      </c>
      <c r="H51" s="5" t="s">
        <v>38</v>
      </c>
      <c r="I51" s="5" t="s">
        <v>376</v>
      </c>
      <c r="J51" s="5"/>
      <c r="K51" s="5"/>
      <c r="L51" s="5"/>
      <c r="M51" s="5"/>
      <c r="N51" s="5"/>
      <c r="O51" s="5"/>
      <c r="P51" s="5"/>
      <c r="Q51" s="5"/>
      <c r="R51" s="4">
        <v>45931</v>
      </c>
      <c r="S51" s="4">
        <v>46120</v>
      </c>
      <c r="T51" s="5" t="str">
        <f>IF(AND(R51="", S51=""), "대기자", IF(AND(R51&lt;&gt;"", S51=""), "취업 중", IF(AND(R51="", S51&lt;&gt;""), "대기자", IF(R51=S51, "", IF(R51 &lt; S51, "대기자", "취업 중")))))</f>
        <v>대기자</v>
      </c>
      <c r="U51" s="5" t="str">
        <f>IF(J51=""," ",IF(ISNUMBER(SEARCH("소형",J51)),"소형","대형"))</f>
        <v xml:space="preserve"> </v>
      </c>
      <c r="V51" s="4">
        <v>42565</v>
      </c>
      <c r="W51" s="5"/>
      <c r="X51" s="5"/>
      <c r="Y51" s="5"/>
      <c r="Z51" s="13"/>
      <c r="AA51" s="13"/>
      <c r="AB51" s="13"/>
      <c r="AC51" s="13"/>
      <c r="AD51" s="13"/>
      <c r="AE51" s="14"/>
      <c r="AF51" s="14"/>
      <c r="AG51" s="14"/>
      <c r="AH51" s="14"/>
      <c r="AI51" s="6"/>
    </row>
    <row r="52" spans="1:35" ht="19.899999999999999" customHeight="1" x14ac:dyDescent="0.25">
      <c r="A52" s="5">
        <v>49</v>
      </c>
      <c r="B52" s="5" t="s">
        <v>33</v>
      </c>
      <c r="C52" s="5" t="s">
        <v>377</v>
      </c>
      <c r="D52" s="5" t="s">
        <v>144</v>
      </c>
      <c r="E52" s="5">
        <v>19751110</v>
      </c>
      <c r="F52" s="5" t="s">
        <v>52</v>
      </c>
      <c r="G52" s="5" t="s">
        <v>378</v>
      </c>
      <c r="H52" s="5" t="s">
        <v>38</v>
      </c>
      <c r="I52" s="5" t="s">
        <v>379</v>
      </c>
      <c r="J52" s="5"/>
      <c r="K52" s="5"/>
      <c r="L52" s="5"/>
      <c r="M52" s="5"/>
      <c r="N52" s="5"/>
      <c r="O52" s="5"/>
      <c r="P52" s="5"/>
      <c r="Q52" s="5"/>
      <c r="R52" s="4">
        <v>45535</v>
      </c>
      <c r="S52" s="4">
        <v>45983</v>
      </c>
      <c r="T52" s="5" t="str">
        <f>IF(AND(R52="", S52=""), "대기자", IF(AND(R52&lt;&gt;"", S52=""), "취업 중", IF(AND(R52="", S52&lt;&gt;""), "대기자", IF(R52=S52, "", IF(R52 &lt; S52, "대기자", "취업 중")))))</f>
        <v>대기자</v>
      </c>
      <c r="U52" s="5" t="str">
        <f>IF(J52=""," ",IF(ISNUMBER(SEARCH("소형",J52)),"소형","대형"))</f>
        <v xml:space="preserve"> </v>
      </c>
      <c r="V52" s="4">
        <v>42528</v>
      </c>
      <c r="W52" s="5"/>
      <c r="X52" s="5"/>
      <c r="Y52" s="5"/>
      <c r="Z52" s="13"/>
      <c r="AA52" s="13"/>
      <c r="AB52" s="13"/>
      <c r="AC52" s="13"/>
      <c r="AD52" s="13"/>
      <c r="AE52" s="15"/>
      <c r="AF52" s="15"/>
      <c r="AG52" s="15"/>
      <c r="AH52" s="15"/>
      <c r="AI52" s="6"/>
    </row>
    <row r="53" spans="1:35" ht="19.899999999999999" customHeight="1" x14ac:dyDescent="0.25">
      <c r="A53" s="5">
        <v>50</v>
      </c>
      <c r="B53" s="5" t="s">
        <v>33</v>
      </c>
      <c r="C53" s="5" t="s">
        <v>380</v>
      </c>
      <c r="D53" s="5" t="s">
        <v>144</v>
      </c>
      <c r="E53" s="5">
        <v>19820211</v>
      </c>
      <c r="F53" s="5" t="s">
        <v>36</v>
      </c>
      <c r="G53" s="5" t="s">
        <v>381</v>
      </c>
      <c r="H53" s="5" t="s">
        <v>38</v>
      </c>
      <c r="I53" s="5" t="s">
        <v>382</v>
      </c>
      <c r="J53" s="5" t="s">
        <v>87</v>
      </c>
      <c r="K53" s="5" t="s">
        <v>76</v>
      </c>
      <c r="L53" s="5" t="s">
        <v>77</v>
      </c>
      <c r="M53" s="5" t="s">
        <v>78</v>
      </c>
      <c r="N53" s="5" t="s">
        <v>79</v>
      </c>
      <c r="O53" s="5" t="s">
        <v>38</v>
      </c>
      <c r="P53" s="5" t="s">
        <v>80</v>
      </c>
      <c r="Q53" s="5" t="s">
        <v>81</v>
      </c>
      <c r="R53" s="4">
        <v>46118</v>
      </c>
      <c r="S53" s="4">
        <v>46036</v>
      </c>
      <c r="T53" s="5" t="str">
        <f>IF(AND(R53="", S53=""), "대기자", IF(AND(R53&lt;&gt;"", S53=""), "취업 중", IF(AND(R53="", S53&lt;&gt;""), "대기자", IF(R53=S53, "", IF(R53 &lt; S53, "대기자", "취업 중")))))</f>
        <v>취업 중</v>
      </c>
      <c r="U53" s="5" t="str">
        <f>IF(J53=""," ",IF(ISNUMBER(SEARCH("소형",J53)),"소형","대형"))</f>
        <v>대형</v>
      </c>
      <c r="V53" s="4">
        <v>38718</v>
      </c>
      <c r="W53" s="5"/>
      <c r="X53" s="5"/>
      <c r="Y53" s="5"/>
      <c r="Z53" s="13" t="s">
        <v>94</v>
      </c>
      <c r="AA53" s="13" t="s">
        <v>48</v>
      </c>
      <c r="AB53" s="13" t="s">
        <v>49</v>
      </c>
      <c r="AC53" s="13" t="s">
        <v>48</v>
      </c>
      <c r="AD53" s="13" t="s">
        <v>48</v>
      </c>
      <c r="AE53" s="14"/>
      <c r="AF53" s="14"/>
      <c r="AG53" s="14" t="s">
        <v>383</v>
      </c>
      <c r="AH53" s="14" t="s">
        <v>384</v>
      </c>
      <c r="AI53" s="6"/>
    </row>
    <row r="54" spans="1:35" ht="19.899999999999999" customHeight="1" x14ac:dyDescent="0.25">
      <c r="A54" s="5">
        <v>51</v>
      </c>
      <c r="B54" s="5" t="s">
        <v>33</v>
      </c>
      <c r="C54" s="5" t="s">
        <v>385</v>
      </c>
      <c r="D54" s="5" t="s">
        <v>72</v>
      </c>
      <c r="E54" s="5">
        <v>19710325</v>
      </c>
      <c r="F54" s="5" t="s">
        <v>36</v>
      </c>
      <c r="G54" s="5" t="s">
        <v>386</v>
      </c>
      <c r="H54" s="5" t="s">
        <v>38</v>
      </c>
      <c r="I54" s="5" t="s">
        <v>387</v>
      </c>
      <c r="J54" s="5"/>
      <c r="K54" s="5"/>
      <c r="L54" s="5"/>
      <c r="M54" s="5"/>
      <c r="N54" s="5"/>
      <c r="O54" s="5"/>
      <c r="P54" s="5"/>
      <c r="Q54" s="5"/>
      <c r="R54" s="4">
        <v>45362</v>
      </c>
      <c r="S54" s="4">
        <v>45731</v>
      </c>
      <c r="T54" s="5" t="str">
        <f>IF(AND(R54="", S54=""), "대기자", IF(AND(R54&lt;&gt;"", S54=""), "취업 중", IF(AND(R54="", S54&lt;&gt;""), "대기자", IF(R54=S54, "", IF(R54 &lt; S54, "대기자", "취업 중")))))</f>
        <v>대기자</v>
      </c>
      <c r="U54" s="5" t="str">
        <f>IF(J54=""," ",IF(ISNUMBER(SEARCH("소형",J54)),"소형","대형"))</f>
        <v xml:space="preserve"> </v>
      </c>
      <c r="V54" s="4">
        <v>42231</v>
      </c>
      <c r="W54" s="5"/>
      <c r="X54" s="5"/>
      <c r="Y54" s="5"/>
      <c r="Z54" s="13"/>
      <c r="AA54" s="13"/>
      <c r="AB54" s="13"/>
      <c r="AC54" s="13"/>
      <c r="AD54" s="13"/>
      <c r="AE54" s="15"/>
      <c r="AF54" s="15"/>
      <c r="AG54" s="15"/>
      <c r="AH54" s="15"/>
      <c r="AI54" s="6"/>
    </row>
    <row r="55" spans="1:35" ht="19.899999999999999" customHeight="1" x14ac:dyDescent="0.25">
      <c r="A55" s="5">
        <v>52</v>
      </c>
      <c r="B55" s="5" t="s">
        <v>33</v>
      </c>
      <c r="C55" s="5" t="s">
        <v>388</v>
      </c>
      <c r="D55" s="5" t="s">
        <v>144</v>
      </c>
      <c r="E55" s="5">
        <v>19851112</v>
      </c>
      <c r="F55" s="5" t="s">
        <v>36</v>
      </c>
      <c r="G55" s="5" t="s">
        <v>389</v>
      </c>
      <c r="H55" s="5" t="s">
        <v>38</v>
      </c>
      <c r="I55" s="5" t="s">
        <v>390</v>
      </c>
      <c r="J55" s="5" t="s">
        <v>59</v>
      </c>
      <c r="K55" s="5" t="s">
        <v>60</v>
      </c>
      <c r="L55" s="5" t="s">
        <v>61</v>
      </c>
      <c r="M55" s="5" t="s">
        <v>62</v>
      </c>
      <c r="N55" s="5" t="s">
        <v>63</v>
      </c>
      <c r="O55" s="5" t="s">
        <v>38</v>
      </c>
      <c r="P55" s="5" t="s">
        <v>64</v>
      </c>
      <c r="Q55" s="5" t="s">
        <v>65</v>
      </c>
      <c r="R55" s="4">
        <v>46084</v>
      </c>
      <c r="S55" s="4">
        <v>45777</v>
      </c>
      <c r="T55" s="5" t="str">
        <f>IF(AND(R55="", S55=""), "대기자", IF(AND(R55&lt;&gt;"", S55=""), "취업 중", IF(AND(R55="", S55&lt;&gt;""), "대기자", IF(R55=S55, "", IF(R55 &lt; S55, "대기자", "취업 중")))))</f>
        <v>취업 중</v>
      </c>
      <c r="U55" s="5" t="str">
        <f>IF(J55=""," ",IF(ISNUMBER(SEARCH("소형",J55)),"소형","대형"))</f>
        <v>대형</v>
      </c>
      <c r="V55" s="4">
        <v>44896</v>
      </c>
      <c r="W55" s="5"/>
      <c r="X55" s="5"/>
      <c r="Y55" s="5"/>
      <c r="Z55" s="13">
        <v>27</v>
      </c>
      <c r="AA55" s="13">
        <v>12</v>
      </c>
      <c r="AB55" s="13">
        <v>12</v>
      </c>
      <c r="AC55" s="13">
        <v>1</v>
      </c>
      <c r="AD55" s="13">
        <v>2</v>
      </c>
      <c r="AE55" s="14"/>
      <c r="AF55" s="14"/>
      <c r="AG55" s="14"/>
      <c r="AH55" s="14" t="s">
        <v>391</v>
      </c>
      <c r="AI55" s="6"/>
    </row>
    <row r="56" spans="1:35" ht="19.899999999999999" customHeight="1" x14ac:dyDescent="0.25">
      <c r="A56" s="5">
        <v>53</v>
      </c>
      <c r="B56" s="5" t="s">
        <v>33</v>
      </c>
      <c r="C56" s="5" t="s">
        <v>392</v>
      </c>
      <c r="D56" s="5" t="s">
        <v>179</v>
      </c>
      <c r="E56" s="5">
        <v>19711112</v>
      </c>
      <c r="F56" s="5" t="s">
        <v>36</v>
      </c>
      <c r="G56" s="5" t="s">
        <v>393</v>
      </c>
      <c r="H56" s="5" t="s">
        <v>38</v>
      </c>
      <c r="I56" s="5" t="s">
        <v>394</v>
      </c>
      <c r="J56" s="5"/>
      <c r="K56" s="5"/>
      <c r="L56" s="5"/>
      <c r="M56" s="5"/>
      <c r="N56" s="5"/>
      <c r="O56" s="5"/>
      <c r="P56" s="5"/>
      <c r="Q56" s="5"/>
      <c r="R56" s="4">
        <v>45793</v>
      </c>
      <c r="S56" s="4">
        <v>46230</v>
      </c>
      <c r="T56" s="5" t="str">
        <f>IF(AND(R56="", S56=""), "대기자", IF(AND(R56&lt;&gt;"", S56=""), "취업 중", IF(AND(R56="", S56&lt;&gt;""), "대기자", IF(R56=S56, "", IF(R56 &lt; S56, "대기자", "취업 중")))))</f>
        <v>대기자</v>
      </c>
      <c r="U56" s="5" t="str">
        <f>IF(J56=""," ",IF(ISNUMBER(SEARCH("소형",J56)),"소형","대형"))</f>
        <v xml:space="preserve"> </v>
      </c>
      <c r="V56" s="4">
        <v>40726</v>
      </c>
      <c r="W56" s="5"/>
      <c r="X56" s="5"/>
      <c r="Y56" s="5"/>
      <c r="Z56" s="13"/>
      <c r="AA56" s="13"/>
      <c r="AB56" s="13"/>
      <c r="AC56" s="13"/>
      <c r="AD56" s="13"/>
      <c r="AE56" s="15"/>
      <c r="AF56" s="15"/>
      <c r="AG56" s="15"/>
      <c r="AH56" s="15" t="s">
        <v>395</v>
      </c>
      <c r="AI56" s="6"/>
    </row>
    <row r="57" spans="1:35" ht="19.899999999999999" customHeight="1" x14ac:dyDescent="0.25">
      <c r="A57" s="5">
        <v>54</v>
      </c>
      <c r="B57" s="5" t="s">
        <v>33</v>
      </c>
      <c r="C57" s="5" t="s">
        <v>396</v>
      </c>
      <c r="D57" s="5" t="s">
        <v>35</v>
      </c>
      <c r="E57" s="5">
        <v>19720319</v>
      </c>
      <c r="F57" s="5" t="s">
        <v>36</v>
      </c>
      <c r="G57" s="5" t="s">
        <v>397</v>
      </c>
      <c r="H57" s="5" t="s">
        <v>38</v>
      </c>
      <c r="I57" s="5" t="s">
        <v>398</v>
      </c>
      <c r="J57" s="5" t="s">
        <v>87</v>
      </c>
      <c r="K57" s="5" t="s">
        <v>76</v>
      </c>
      <c r="L57" s="5" t="s">
        <v>399</v>
      </c>
      <c r="M57" s="5" t="s">
        <v>400</v>
      </c>
      <c r="N57" s="5" t="s">
        <v>401</v>
      </c>
      <c r="O57" s="5" t="s">
        <v>38</v>
      </c>
      <c r="P57" s="5" t="s">
        <v>402</v>
      </c>
      <c r="Q57" s="5" t="s">
        <v>403</v>
      </c>
      <c r="R57" s="4">
        <v>45842</v>
      </c>
      <c r="S57" s="4">
        <v>45647</v>
      </c>
      <c r="T57" s="5" t="str">
        <f>IF(AND(R57="", S57=""), "대기자", IF(AND(R57&lt;&gt;"", S57=""), "취업 중", IF(AND(R57="", S57&lt;&gt;""), "대기자", IF(R57=S57, "", IF(R57 &lt; S57, "대기자", "취업 중")))))</f>
        <v>취업 중</v>
      </c>
      <c r="U57" s="5" t="str">
        <f>IF(J57=""," ",IF(ISNUMBER(SEARCH("소형",J57)),"소형","대형"))</f>
        <v>대형</v>
      </c>
      <c r="V57" s="4">
        <v>38718</v>
      </c>
      <c r="W57" s="5"/>
      <c r="X57" s="5"/>
      <c r="Y57" s="5"/>
      <c r="Z57" s="13" t="s">
        <v>70</v>
      </c>
      <c r="AA57" s="13" t="s">
        <v>49</v>
      </c>
      <c r="AB57" s="13" t="s">
        <v>48</v>
      </c>
      <c r="AC57" s="13" t="s">
        <v>50</v>
      </c>
      <c r="AD57" s="13" t="s">
        <v>50</v>
      </c>
      <c r="AE57" s="14"/>
      <c r="AF57" s="14"/>
      <c r="AG57" s="14" t="s">
        <v>83</v>
      </c>
      <c r="AH57" s="14" t="s">
        <v>404</v>
      </c>
      <c r="AI57" s="6"/>
    </row>
    <row r="58" spans="1:35" ht="19.899999999999999" customHeight="1" x14ac:dyDescent="0.25">
      <c r="A58" s="5">
        <v>55</v>
      </c>
      <c r="B58" s="5" t="s">
        <v>33</v>
      </c>
      <c r="C58" s="5" t="s">
        <v>405</v>
      </c>
      <c r="D58" s="5" t="s">
        <v>56</v>
      </c>
      <c r="E58" s="5">
        <v>19810127</v>
      </c>
      <c r="F58" s="5" t="s">
        <v>36</v>
      </c>
      <c r="G58" s="5" t="s">
        <v>406</v>
      </c>
      <c r="H58" s="5" t="s">
        <v>38</v>
      </c>
      <c r="I58" s="5" t="s">
        <v>407</v>
      </c>
      <c r="J58" s="5" t="s">
        <v>408</v>
      </c>
      <c r="K58" s="5" t="s">
        <v>409</v>
      </c>
      <c r="L58" s="5" t="s">
        <v>410</v>
      </c>
      <c r="M58" s="5" t="s">
        <v>411</v>
      </c>
      <c r="N58" s="5" t="s">
        <v>412</v>
      </c>
      <c r="O58" s="5" t="s">
        <v>38</v>
      </c>
      <c r="P58" s="5" t="s">
        <v>152</v>
      </c>
      <c r="Q58" s="5" t="s">
        <v>413</v>
      </c>
      <c r="R58" s="4">
        <v>46252</v>
      </c>
      <c r="S58" s="4">
        <v>45790</v>
      </c>
      <c r="T58" s="5" t="str">
        <f>IF(AND(R58="", S58=""), "대기자", IF(AND(R58&lt;&gt;"", S58=""), "취업 중", IF(AND(R58="", S58&lt;&gt;""), "대기자", IF(R58=S58, "", IF(R58 &lt; S58, "대기자", "취업 중")))))</f>
        <v>취업 중</v>
      </c>
      <c r="U58" s="5" t="str">
        <f>IF(J58=""," ",IF(ISNUMBER(SEARCH("소형",J58)),"소형","대형"))</f>
        <v>대형</v>
      </c>
      <c r="V58" s="4">
        <v>42583</v>
      </c>
      <c r="W58" s="5"/>
      <c r="X58" s="5"/>
      <c r="Y58" s="5"/>
      <c r="Z58" s="13">
        <v>4</v>
      </c>
      <c r="AA58" s="13">
        <v>1</v>
      </c>
      <c r="AB58" s="13">
        <v>2</v>
      </c>
      <c r="AC58" s="13">
        <v>0</v>
      </c>
      <c r="AD58" s="13">
        <v>1</v>
      </c>
      <c r="AE58" s="15"/>
      <c r="AF58" s="15"/>
      <c r="AG58" s="15"/>
      <c r="AH58" s="15"/>
      <c r="AI58" s="6"/>
    </row>
    <row r="59" spans="1:35" ht="19.899999999999999" customHeight="1" x14ac:dyDescent="0.25">
      <c r="A59" s="5">
        <v>56</v>
      </c>
      <c r="B59" s="5" t="s">
        <v>33</v>
      </c>
      <c r="C59" s="5" t="s">
        <v>414</v>
      </c>
      <c r="D59" s="5" t="s">
        <v>56</v>
      </c>
      <c r="E59" s="5">
        <v>19790905</v>
      </c>
      <c r="F59" s="5" t="s">
        <v>36</v>
      </c>
      <c r="G59" s="5" t="s">
        <v>415</v>
      </c>
      <c r="H59" s="5" t="s">
        <v>38</v>
      </c>
      <c r="I59" s="5" t="s">
        <v>416</v>
      </c>
      <c r="J59" s="5"/>
      <c r="K59" s="5"/>
      <c r="L59" s="5"/>
      <c r="M59" s="5"/>
      <c r="N59" s="5"/>
      <c r="O59" s="5"/>
      <c r="P59" s="5"/>
      <c r="Q59" s="5"/>
      <c r="R59" s="4">
        <v>45170</v>
      </c>
      <c r="S59" s="4">
        <v>45754</v>
      </c>
      <c r="T59" s="5" t="str">
        <f>IF(AND(R59="", S59=""), "대기자", IF(AND(R59&lt;&gt;"", S59=""), "취업 중", IF(AND(R59="", S59&lt;&gt;""), "대기자", IF(R59=S59, "", IF(R59 &lt; S59, "대기자", "취업 중")))))</f>
        <v>대기자</v>
      </c>
      <c r="U59" s="5" t="str">
        <f>IF(J59=""," ",IF(ISNUMBER(SEARCH("소형",J59)),"소형","대형"))</f>
        <v xml:space="preserve"> </v>
      </c>
      <c r="V59" s="4">
        <v>42644</v>
      </c>
      <c r="W59" s="5"/>
      <c r="X59" s="5"/>
      <c r="Y59" s="5"/>
      <c r="Z59" s="13"/>
      <c r="AA59" s="13"/>
      <c r="AB59" s="13"/>
      <c r="AC59" s="13"/>
      <c r="AD59" s="13"/>
      <c r="AE59" s="14"/>
      <c r="AF59" s="14"/>
      <c r="AG59" s="14"/>
      <c r="AH59" s="14"/>
      <c r="AI59" s="6"/>
    </row>
    <row r="60" spans="1:35" ht="19.899999999999999" customHeight="1" x14ac:dyDescent="0.25">
      <c r="A60" s="5">
        <v>57</v>
      </c>
      <c r="B60" s="5" t="s">
        <v>33</v>
      </c>
      <c r="C60" s="5" t="s">
        <v>417</v>
      </c>
      <c r="D60" s="5" t="s">
        <v>56</v>
      </c>
      <c r="E60" s="5">
        <v>19780715</v>
      </c>
      <c r="F60" s="5" t="s">
        <v>36</v>
      </c>
      <c r="G60" s="5" t="s">
        <v>418</v>
      </c>
      <c r="H60" s="5" t="s">
        <v>38</v>
      </c>
      <c r="I60" s="5" t="s">
        <v>419</v>
      </c>
      <c r="J60" s="5" t="s">
        <v>420</v>
      </c>
      <c r="K60" s="5" t="s">
        <v>421</v>
      </c>
      <c r="L60" s="5" t="s">
        <v>422</v>
      </c>
      <c r="M60" s="5" t="s">
        <v>423</v>
      </c>
      <c r="N60" s="5" t="s">
        <v>424</v>
      </c>
      <c r="O60" s="5" t="s">
        <v>38</v>
      </c>
      <c r="P60" s="5" t="s">
        <v>152</v>
      </c>
      <c r="Q60" s="5" t="s">
        <v>425</v>
      </c>
      <c r="R60" s="4">
        <v>46111</v>
      </c>
      <c r="S60" s="4">
        <v>45679</v>
      </c>
      <c r="T60" s="5" t="str">
        <f>IF(AND(R60="", S60=""), "대기자", IF(AND(R60&lt;&gt;"", S60=""), "취업 중", IF(AND(R60="", S60&lt;&gt;""), "대기자", IF(R60=S60, "", IF(R60 &lt; S60, "대기자", "취업 중")))))</f>
        <v>취업 중</v>
      </c>
      <c r="U60" s="5" t="str">
        <f>IF(J60=""," ",IF(ISNUMBER(SEARCH("소형",J60)),"소형","대형"))</f>
        <v>대형</v>
      </c>
      <c r="V60" s="4">
        <v>43647</v>
      </c>
      <c r="W60" s="5"/>
      <c r="X60" s="5"/>
      <c r="Y60" s="5"/>
      <c r="Z60" s="13" t="s">
        <v>82</v>
      </c>
      <c r="AA60" s="13" t="s">
        <v>49</v>
      </c>
      <c r="AB60" s="13" t="s">
        <v>70</v>
      </c>
      <c r="AC60" s="13" t="s">
        <v>50</v>
      </c>
      <c r="AD60" s="13" t="s">
        <v>48</v>
      </c>
      <c r="AE60" s="15"/>
      <c r="AF60" s="15"/>
      <c r="AG60" s="15"/>
      <c r="AH60" s="15" t="s">
        <v>426</v>
      </c>
      <c r="AI60" s="6"/>
    </row>
    <row r="61" spans="1:35" ht="19.899999999999999" customHeight="1" x14ac:dyDescent="0.25">
      <c r="A61" s="5">
        <v>58</v>
      </c>
      <c r="B61" s="5" t="s">
        <v>33</v>
      </c>
      <c r="C61" s="5" t="s">
        <v>427</v>
      </c>
      <c r="D61" s="5" t="s">
        <v>99</v>
      </c>
      <c r="E61" s="5">
        <v>19790807</v>
      </c>
      <c r="F61" s="5" t="s">
        <v>36</v>
      </c>
      <c r="G61" s="5" t="s">
        <v>428</v>
      </c>
      <c r="H61" s="5" t="s">
        <v>38</v>
      </c>
      <c r="I61" s="5" t="s">
        <v>429</v>
      </c>
      <c r="J61" s="5" t="s">
        <v>102</v>
      </c>
      <c r="K61" s="5" t="s">
        <v>102</v>
      </c>
      <c r="L61" s="5" t="s">
        <v>430</v>
      </c>
      <c r="M61" s="5"/>
      <c r="N61" s="5"/>
      <c r="O61" s="5" t="s">
        <v>38</v>
      </c>
      <c r="P61" s="5" t="s">
        <v>164</v>
      </c>
      <c r="Q61" s="5" t="s">
        <v>431</v>
      </c>
      <c r="R61" s="4">
        <v>46261</v>
      </c>
      <c r="S61" s="4">
        <v>46137</v>
      </c>
      <c r="T61" s="5" t="str">
        <f>IF(AND(R61="", S61=""), "대기자", IF(AND(R61&lt;&gt;"", S61=""), "취업 중", IF(AND(R61="", S61&lt;&gt;""), "대기자", IF(R61=S61, "", IF(R61 &lt; S61, "대기자", "취업 중")))))</f>
        <v>취업 중</v>
      </c>
      <c r="U61" s="5" t="str">
        <f>IF(J61=""," ",IF(ISNUMBER(SEARCH("소형",J61)),"소형","대형"))</f>
        <v>소형</v>
      </c>
      <c r="V61" s="4">
        <v>43465</v>
      </c>
      <c r="W61" s="5"/>
      <c r="X61" s="5" t="s">
        <v>432</v>
      </c>
      <c r="Y61" s="5" t="s">
        <v>433</v>
      </c>
      <c r="Z61" s="13"/>
      <c r="AA61" s="13"/>
      <c r="AB61" s="13"/>
      <c r="AC61" s="13"/>
      <c r="AD61" s="13"/>
      <c r="AE61" s="14"/>
      <c r="AF61" s="14"/>
      <c r="AG61" s="14"/>
      <c r="AH61" s="14"/>
      <c r="AI61" s="6"/>
    </row>
    <row r="62" spans="1:35" ht="19.899999999999999" customHeight="1" x14ac:dyDescent="0.25">
      <c r="A62" s="5">
        <v>59</v>
      </c>
      <c r="B62" s="5" t="s">
        <v>33</v>
      </c>
      <c r="C62" s="5" t="s">
        <v>434</v>
      </c>
      <c r="D62" s="5" t="s">
        <v>144</v>
      </c>
      <c r="E62" s="5">
        <v>19681208</v>
      </c>
      <c r="F62" s="5" t="s">
        <v>36</v>
      </c>
      <c r="G62" s="5" t="s">
        <v>435</v>
      </c>
      <c r="H62" s="5" t="s">
        <v>38</v>
      </c>
      <c r="I62" s="5" t="s">
        <v>436</v>
      </c>
      <c r="J62" s="5"/>
      <c r="K62" s="5"/>
      <c r="L62" s="5"/>
      <c r="M62" s="5"/>
      <c r="N62" s="5"/>
      <c r="O62" s="5"/>
      <c r="P62" s="5"/>
      <c r="Q62" s="5"/>
      <c r="R62" s="4">
        <v>45468</v>
      </c>
      <c r="S62" s="4">
        <v>46118</v>
      </c>
      <c r="T62" s="5" t="str">
        <f>IF(AND(R62="", S62=""), "대기자", IF(AND(R62&lt;&gt;"", S62=""), "취업 중", IF(AND(R62="", S62&lt;&gt;""), "대기자", IF(R62=S62, "", IF(R62 &lt; S62, "대기자", "취업 중")))))</f>
        <v>대기자</v>
      </c>
      <c r="U62" s="5" t="str">
        <f>IF(J62=""," ",IF(ISNUMBER(SEARCH("소형",J62)),"소형","대형"))</f>
        <v xml:space="preserve"> </v>
      </c>
      <c r="V62" s="4">
        <v>39448</v>
      </c>
      <c r="W62" s="5"/>
      <c r="X62" s="5"/>
      <c r="Y62" s="5"/>
      <c r="Z62" s="13"/>
      <c r="AA62" s="13"/>
      <c r="AB62" s="13"/>
      <c r="AC62" s="13"/>
      <c r="AD62" s="13"/>
      <c r="AE62" s="15"/>
      <c r="AF62" s="15"/>
      <c r="AG62" s="15" t="s">
        <v>83</v>
      </c>
      <c r="AH62" s="15"/>
      <c r="AI62" s="6"/>
    </row>
    <row r="63" spans="1:35" ht="19.899999999999999" customHeight="1" x14ac:dyDescent="0.25">
      <c r="A63" s="5">
        <v>60</v>
      </c>
      <c r="B63" s="5" t="s">
        <v>33</v>
      </c>
      <c r="C63" s="5" t="s">
        <v>437</v>
      </c>
      <c r="D63" s="5" t="s">
        <v>72</v>
      </c>
      <c r="E63" s="5">
        <v>19621227</v>
      </c>
      <c r="F63" s="5" t="s">
        <v>36</v>
      </c>
      <c r="G63" s="5" t="s">
        <v>438</v>
      </c>
      <c r="H63" s="5" t="s">
        <v>38</v>
      </c>
      <c r="I63" s="5" t="s">
        <v>439</v>
      </c>
      <c r="J63" s="5"/>
      <c r="K63" s="5"/>
      <c r="L63" s="5"/>
      <c r="M63" s="5"/>
      <c r="N63" s="5"/>
      <c r="O63" s="5"/>
      <c r="P63" s="5"/>
      <c r="Q63" s="5"/>
      <c r="R63" s="4">
        <v>45666</v>
      </c>
      <c r="S63" s="4">
        <v>46031</v>
      </c>
      <c r="T63" s="5" t="str">
        <f>IF(AND(R63="", S63=""), "대기자", IF(AND(R63&lt;&gt;"", S63=""), "취업 중", IF(AND(R63="", S63&lt;&gt;""), "대기자", IF(R63=S63, "", IF(R63 &lt; S63, "대기자", "취업 중")))))</f>
        <v>대기자</v>
      </c>
      <c r="U63" s="5" t="str">
        <f>IF(J63=""," ",IF(ISNUMBER(SEARCH("소형",J63)),"소형","대형"))</f>
        <v xml:space="preserve"> </v>
      </c>
      <c r="V63" s="4">
        <v>40455</v>
      </c>
      <c r="W63" s="5"/>
      <c r="X63" s="5"/>
      <c r="Y63" s="5"/>
      <c r="Z63" s="13"/>
      <c r="AA63" s="13"/>
      <c r="AB63" s="13"/>
      <c r="AC63" s="13"/>
      <c r="AD63" s="13"/>
      <c r="AE63" s="14"/>
      <c r="AF63" s="14"/>
      <c r="AG63" s="14"/>
      <c r="AH63" s="14"/>
      <c r="AI63" s="6"/>
    </row>
    <row r="64" spans="1:35" ht="19.899999999999999" customHeight="1" x14ac:dyDescent="0.25">
      <c r="A64" s="5">
        <v>61</v>
      </c>
      <c r="B64" s="5" t="s">
        <v>33</v>
      </c>
      <c r="C64" s="5" t="s">
        <v>440</v>
      </c>
      <c r="D64" s="5" t="s">
        <v>67</v>
      </c>
      <c r="E64" s="5">
        <v>19691030</v>
      </c>
      <c r="F64" s="5" t="s">
        <v>36</v>
      </c>
      <c r="G64" s="5" t="s">
        <v>441</v>
      </c>
      <c r="H64" s="5" t="s">
        <v>38</v>
      </c>
      <c r="I64" s="5" t="s">
        <v>442</v>
      </c>
      <c r="J64" s="5"/>
      <c r="K64" s="5"/>
      <c r="L64" s="5"/>
      <c r="M64" s="5"/>
      <c r="N64" s="5"/>
      <c r="O64" s="5"/>
      <c r="P64" s="5"/>
      <c r="Q64" s="5"/>
      <c r="R64" s="4">
        <v>45776</v>
      </c>
      <c r="S64" s="4">
        <v>46235</v>
      </c>
      <c r="T64" s="5" t="str">
        <f>IF(AND(R64="", S64=""), "대기자", IF(AND(R64&lt;&gt;"", S64=""), "취업 중", IF(AND(R64="", S64&lt;&gt;""), "대기자", IF(R64=S64, "", IF(R64 &lt; S64, "대기자", "취업 중")))))</f>
        <v>대기자</v>
      </c>
      <c r="U64" s="5" t="str">
        <f>IF(J64=""," ",IF(ISNUMBER(SEARCH("소형",J64)),"소형","대형"))</f>
        <v xml:space="preserve"> </v>
      </c>
      <c r="V64" s="4">
        <v>42684</v>
      </c>
      <c r="W64" s="5"/>
      <c r="X64" s="5"/>
      <c r="Y64" s="5"/>
      <c r="Z64" s="13"/>
      <c r="AA64" s="13"/>
      <c r="AB64" s="13"/>
      <c r="AC64" s="13"/>
      <c r="AD64" s="13"/>
      <c r="AE64" s="15"/>
      <c r="AF64" s="15"/>
      <c r="AG64" s="15" t="s">
        <v>184</v>
      </c>
      <c r="AH64" s="15" t="s">
        <v>443</v>
      </c>
      <c r="AI64" s="6"/>
    </row>
    <row r="65" spans="1:35" ht="19.899999999999999" customHeight="1" x14ac:dyDescent="0.25">
      <c r="A65" s="5">
        <v>62</v>
      </c>
      <c r="B65" s="5" t="s">
        <v>33</v>
      </c>
      <c r="C65" s="5" t="s">
        <v>444</v>
      </c>
      <c r="D65" s="5" t="s">
        <v>99</v>
      </c>
      <c r="E65" s="5">
        <v>19710820</v>
      </c>
      <c r="F65" s="5" t="s">
        <v>36</v>
      </c>
      <c r="G65" s="5" t="s">
        <v>445</v>
      </c>
      <c r="H65" s="5" t="s">
        <v>38</v>
      </c>
      <c r="I65" s="5" t="s">
        <v>446</v>
      </c>
      <c r="J65" s="5"/>
      <c r="K65" s="5"/>
      <c r="L65" s="5"/>
      <c r="M65" s="5"/>
      <c r="N65" s="5"/>
      <c r="O65" s="5"/>
      <c r="P65" s="5"/>
      <c r="Q65" s="5"/>
      <c r="R65" s="4">
        <v>45755</v>
      </c>
      <c r="S65" s="4">
        <v>46130</v>
      </c>
      <c r="T65" s="5" t="str">
        <f>IF(AND(R65="", S65=""), "대기자", IF(AND(R65&lt;&gt;"", S65=""), "취업 중", IF(AND(R65="", S65&lt;&gt;""), "대기자", IF(R65=S65, "", IF(R65 &lt; S65, "대기자", "취업 중")))))</f>
        <v>대기자</v>
      </c>
      <c r="U65" s="5" t="str">
        <f>IF(J65=""," ",IF(ISNUMBER(SEARCH("소형",J65)),"소형","대형"))</f>
        <v xml:space="preserve"> </v>
      </c>
      <c r="V65" s="4">
        <v>40210</v>
      </c>
      <c r="W65" s="5"/>
      <c r="X65" s="5"/>
      <c r="Y65" s="5"/>
      <c r="Z65" s="13"/>
      <c r="AA65" s="13"/>
      <c r="AB65" s="13"/>
      <c r="AC65" s="13"/>
      <c r="AD65" s="13"/>
      <c r="AE65" s="14"/>
      <c r="AF65" s="14"/>
      <c r="AG65" s="14"/>
      <c r="AH65" s="14"/>
      <c r="AI65" s="6"/>
    </row>
    <row r="66" spans="1:35" ht="19.899999999999999" customHeight="1" x14ac:dyDescent="0.25">
      <c r="A66" s="5">
        <v>63</v>
      </c>
      <c r="B66" s="5" t="s">
        <v>33</v>
      </c>
      <c r="C66" s="5" t="s">
        <v>447</v>
      </c>
      <c r="D66" s="5" t="s">
        <v>99</v>
      </c>
      <c r="E66" s="5">
        <v>19711030</v>
      </c>
      <c r="F66" s="5" t="s">
        <v>36</v>
      </c>
      <c r="G66" s="5" t="s">
        <v>448</v>
      </c>
      <c r="H66" s="5" t="s">
        <v>38</v>
      </c>
      <c r="I66" s="5" t="s">
        <v>449</v>
      </c>
      <c r="J66" s="5"/>
      <c r="K66" s="5"/>
      <c r="L66" s="5"/>
      <c r="M66" s="5"/>
      <c r="N66" s="5"/>
      <c r="O66" s="5"/>
      <c r="P66" s="5"/>
      <c r="Q66" s="5"/>
      <c r="R66" s="4">
        <v>45629</v>
      </c>
      <c r="S66" s="4">
        <v>46057</v>
      </c>
      <c r="T66" s="5" t="str">
        <f>IF(AND(R66="", S66=""), "대기자", IF(AND(R66&lt;&gt;"", S66=""), "취업 중", IF(AND(R66="", S66&lt;&gt;""), "대기자", IF(R66=S66, "", IF(R66 &lt; S66, "대기자", "취업 중")))))</f>
        <v>대기자</v>
      </c>
      <c r="U66" s="5" t="str">
        <f>IF(J66=""," ",IF(ISNUMBER(SEARCH("소형",J66)),"소형","대형"))</f>
        <v xml:space="preserve"> </v>
      </c>
      <c r="V66" s="4">
        <v>42459</v>
      </c>
      <c r="W66" s="5"/>
      <c r="X66" s="5"/>
      <c r="Y66" s="5"/>
      <c r="Z66" s="13"/>
      <c r="AA66" s="13"/>
      <c r="AB66" s="13"/>
      <c r="AC66" s="13"/>
      <c r="AD66" s="13"/>
      <c r="AE66" s="15"/>
      <c r="AF66" s="15"/>
      <c r="AG66" s="15"/>
      <c r="AH66" s="15"/>
      <c r="AI66" s="6"/>
    </row>
    <row r="67" spans="1:35" ht="19.899999999999999" customHeight="1" x14ac:dyDescent="0.25">
      <c r="A67" s="5">
        <v>64</v>
      </c>
      <c r="B67" s="5" t="s">
        <v>33</v>
      </c>
      <c r="C67" s="5" t="s">
        <v>450</v>
      </c>
      <c r="D67" s="5" t="s">
        <v>67</v>
      </c>
      <c r="E67" s="5">
        <v>19850524</v>
      </c>
      <c r="F67" s="5" t="s">
        <v>36</v>
      </c>
      <c r="G67" s="5" t="s">
        <v>451</v>
      </c>
      <c r="H67" s="5" t="s">
        <v>38</v>
      </c>
      <c r="I67" s="5" t="s">
        <v>452</v>
      </c>
      <c r="J67" s="5"/>
      <c r="K67" s="5"/>
      <c r="L67" s="5"/>
      <c r="M67" s="5"/>
      <c r="N67" s="5"/>
      <c r="O67" s="5"/>
      <c r="P67" s="5"/>
      <c r="Q67" s="5"/>
      <c r="R67" s="4">
        <v>45748</v>
      </c>
      <c r="S67" s="4">
        <v>46053</v>
      </c>
      <c r="T67" s="5" t="str">
        <f>IF(AND(R67="", S67=""), "대기자", IF(AND(R67&lt;&gt;"", S67=""), "취업 중", IF(AND(R67="", S67&lt;&gt;""), "대기자", IF(R67=S67, "", IF(R67 &lt; S67, "대기자", "취업 중")))))</f>
        <v>대기자</v>
      </c>
      <c r="U67" s="5" t="str">
        <f>IF(J67=""," ",IF(ISNUMBER(SEARCH("소형",J67)),"소형","대형"))</f>
        <v xml:space="preserve"> </v>
      </c>
      <c r="V67" s="4">
        <v>45627</v>
      </c>
      <c r="W67" s="5"/>
      <c r="X67" s="5"/>
      <c r="Y67" s="5"/>
      <c r="Z67" s="13"/>
      <c r="AA67" s="13"/>
      <c r="AB67" s="13"/>
      <c r="AC67" s="13"/>
      <c r="AD67" s="13"/>
      <c r="AE67" s="14"/>
      <c r="AF67" s="14"/>
      <c r="AG67" s="14"/>
      <c r="AH67" s="14"/>
      <c r="AI67" s="6"/>
    </row>
    <row r="68" spans="1:35" ht="19.899999999999999" customHeight="1" x14ac:dyDescent="0.25">
      <c r="A68" s="5">
        <v>65</v>
      </c>
      <c r="B68" s="5" t="s">
        <v>33</v>
      </c>
      <c r="C68" s="5" t="s">
        <v>453</v>
      </c>
      <c r="D68" s="5" t="s">
        <v>99</v>
      </c>
      <c r="E68" s="5">
        <v>19730408</v>
      </c>
      <c r="F68" s="5" t="s">
        <v>36</v>
      </c>
      <c r="G68" s="5" t="s">
        <v>454</v>
      </c>
      <c r="H68" s="5" t="s">
        <v>38</v>
      </c>
      <c r="I68" s="5" t="s">
        <v>455</v>
      </c>
      <c r="J68" s="5" t="s">
        <v>59</v>
      </c>
      <c r="K68" s="5" t="s">
        <v>112</v>
      </c>
      <c r="L68" s="5" t="s">
        <v>113</v>
      </c>
      <c r="M68" s="5" t="s">
        <v>62</v>
      </c>
      <c r="N68" s="5" t="s">
        <v>63</v>
      </c>
      <c r="O68" s="5" t="s">
        <v>38</v>
      </c>
      <c r="P68" s="5" t="s">
        <v>64</v>
      </c>
      <c r="Q68" s="5" t="s">
        <v>65</v>
      </c>
      <c r="R68" s="4">
        <v>46048</v>
      </c>
      <c r="S68" s="4">
        <v>45650</v>
      </c>
      <c r="T68" s="5" t="str">
        <f>IF(AND(R68="", S68=""), "대기자", IF(AND(R68&lt;&gt;"", S68=""), "취업 중", IF(AND(R68="", S68&lt;&gt;""), "대기자", IF(R68=S68, "", IF(R68 &lt; S68, "대기자", "취업 중")))))</f>
        <v>취업 중</v>
      </c>
      <c r="U68" s="5" t="str">
        <f>IF(J68=""," ",IF(ISNUMBER(SEARCH("소형",J68)),"소형","대형"))</f>
        <v>대형</v>
      </c>
      <c r="V68" s="4">
        <v>40452</v>
      </c>
      <c r="W68" s="5"/>
      <c r="X68" s="5"/>
      <c r="Y68" s="5"/>
      <c r="Z68" s="13">
        <v>23</v>
      </c>
      <c r="AA68" s="13">
        <v>10</v>
      </c>
      <c r="AB68" s="13">
        <v>10</v>
      </c>
      <c r="AC68" s="13">
        <v>1</v>
      </c>
      <c r="AD68" s="13">
        <v>2</v>
      </c>
      <c r="AE68" s="15"/>
      <c r="AF68" s="15"/>
      <c r="AG68" s="15"/>
      <c r="AH68" s="15" t="s">
        <v>456</v>
      </c>
      <c r="AI68" s="6"/>
    </row>
    <row r="69" spans="1:35" ht="19.899999999999999" customHeight="1" x14ac:dyDescent="0.25">
      <c r="A69" s="5">
        <v>66</v>
      </c>
      <c r="B69" s="5" t="s">
        <v>33</v>
      </c>
      <c r="C69" s="5" t="s">
        <v>457</v>
      </c>
      <c r="D69" s="5" t="s">
        <v>72</v>
      </c>
      <c r="E69" s="5">
        <v>19630405</v>
      </c>
      <c r="F69" s="5" t="s">
        <v>36</v>
      </c>
      <c r="G69" s="5" t="s">
        <v>458</v>
      </c>
      <c r="H69" s="5" t="s">
        <v>38</v>
      </c>
      <c r="I69" s="5" t="s">
        <v>459</v>
      </c>
      <c r="J69" s="5" t="s">
        <v>460</v>
      </c>
      <c r="K69" s="5" t="s">
        <v>321</v>
      </c>
      <c r="L69" s="5" t="s">
        <v>322</v>
      </c>
      <c r="M69" s="5" t="s">
        <v>323</v>
      </c>
      <c r="N69" s="5" t="s">
        <v>324</v>
      </c>
      <c r="O69" s="5" t="s">
        <v>38</v>
      </c>
      <c r="P69" s="5" t="s">
        <v>64</v>
      </c>
      <c r="Q69" s="5" t="s">
        <v>325</v>
      </c>
      <c r="R69" s="4">
        <v>45838</v>
      </c>
      <c r="S69" s="4">
        <v>45506</v>
      </c>
      <c r="T69" s="5" t="str">
        <f>IF(AND(R69="", S69=""), "대기자", IF(AND(R69&lt;&gt;"", S69=""), "취업 중", IF(AND(R69="", S69&lt;&gt;""), "대기자", IF(R69=S69, "", IF(R69 &lt; S69, "대기자", "취업 중")))))</f>
        <v>취업 중</v>
      </c>
      <c r="U69" s="5" t="str">
        <f>IF(J69=""," ",IF(ISNUMBER(SEARCH("소형",J69)),"소형","대형"))</f>
        <v>대형</v>
      </c>
      <c r="V69" s="4">
        <v>38718</v>
      </c>
      <c r="W69" s="5"/>
      <c r="X69" s="5"/>
      <c r="Y69" s="5"/>
      <c r="Z69" s="13" t="s">
        <v>94</v>
      </c>
      <c r="AA69" s="13" t="s">
        <v>49</v>
      </c>
      <c r="AB69" s="13" t="s">
        <v>49</v>
      </c>
      <c r="AC69" s="13" t="s">
        <v>50</v>
      </c>
      <c r="AD69" s="13" t="s">
        <v>48</v>
      </c>
      <c r="AE69" s="14"/>
      <c r="AF69" s="14"/>
      <c r="AG69" s="14" t="s">
        <v>117</v>
      </c>
      <c r="AH69" s="14" t="s">
        <v>461</v>
      </c>
      <c r="AI69" s="6"/>
    </row>
    <row r="70" spans="1:35" ht="19.899999999999999" customHeight="1" x14ac:dyDescent="0.25">
      <c r="A70" s="5">
        <v>67</v>
      </c>
      <c r="B70" s="5" t="s">
        <v>33</v>
      </c>
      <c r="C70" s="5" t="s">
        <v>462</v>
      </c>
      <c r="D70" s="5" t="s">
        <v>144</v>
      </c>
      <c r="E70" s="5">
        <v>19860315</v>
      </c>
      <c r="F70" s="5" t="s">
        <v>36</v>
      </c>
      <c r="G70" s="5" t="s">
        <v>463</v>
      </c>
      <c r="H70" s="5" t="s">
        <v>38</v>
      </c>
      <c r="I70" s="5" t="s">
        <v>464</v>
      </c>
      <c r="J70" s="5" t="s">
        <v>102</v>
      </c>
      <c r="K70" s="5" t="s">
        <v>102</v>
      </c>
      <c r="L70" s="5" t="s">
        <v>465</v>
      </c>
      <c r="M70" s="5" t="s">
        <v>466</v>
      </c>
      <c r="N70" s="5" t="s">
        <v>467</v>
      </c>
      <c r="O70" s="5" t="s">
        <v>38</v>
      </c>
      <c r="P70" s="5" t="s">
        <v>92</v>
      </c>
      <c r="Q70" s="5" t="s">
        <v>468</v>
      </c>
      <c r="R70" s="4">
        <v>46146</v>
      </c>
      <c r="S70" s="4">
        <v>46074</v>
      </c>
      <c r="T70" s="5" t="str">
        <f>IF(AND(R70="", S70=""), "대기자", IF(AND(R70&lt;&gt;"", S70=""), "취업 중", IF(AND(R70="", S70&lt;&gt;""), "대기자", IF(R70=S70, "", IF(R70 &lt; S70, "대기자", "취업 중")))))</f>
        <v>취업 중</v>
      </c>
      <c r="U70" s="5" t="str">
        <f>IF(J70=""," ",IF(ISNUMBER(SEARCH("소형",J70)),"소형","대형"))</f>
        <v>소형</v>
      </c>
      <c r="V70" s="4">
        <v>43712</v>
      </c>
      <c r="W70" s="5"/>
      <c r="X70" s="5"/>
      <c r="Y70" s="5" t="s">
        <v>469</v>
      </c>
      <c r="Z70" s="13"/>
      <c r="AA70" s="13"/>
      <c r="AB70" s="13"/>
      <c r="AC70" s="13"/>
      <c r="AD70" s="13"/>
      <c r="AE70" s="15"/>
      <c r="AF70" s="15"/>
      <c r="AG70" s="15"/>
      <c r="AH70" s="15"/>
      <c r="AI70" s="6"/>
    </row>
    <row r="71" spans="1:35" ht="19.899999999999999" customHeight="1" x14ac:dyDescent="0.25">
      <c r="A71" s="5">
        <v>68</v>
      </c>
      <c r="B71" s="5" t="s">
        <v>33</v>
      </c>
      <c r="C71" s="5" t="s">
        <v>470</v>
      </c>
      <c r="D71" s="5" t="s">
        <v>56</v>
      </c>
      <c r="E71" s="5">
        <v>19921022</v>
      </c>
      <c r="F71" s="5" t="s">
        <v>52</v>
      </c>
      <c r="G71" s="5" t="s">
        <v>471</v>
      </c>
      <c r="H71" s="5" t="s">
        <v>38</v>
      </c>
      <c r="I71" s="5" t="s">
        <v>472</v>
      </c>
      <c r="J71" s="5" t="s">
        <v>420</v>
      </c>
      <c r="K71" s="5" t="s">
        <v>421</v>
      </c>
      <c r="L71" s="5" t="s">
        <v>422</v>
      </c>
      <c r="M71" s="5" t="s">
        <v>473</v>
      </c>
      <c r="N71" s="5" t="s">
        <v>424</v>
      </c>
      <c r="O71" s="5" t="s">
        <v>38</v>
      </c>
      <c r="P71" s="5" t="s">
        <v>152</v>
      </c>
      <c r="Q71" s="5" t="s">
        <v>425</v>
      </c>
      <c r="R71" s="4">
        <v>46149</v>
      </c>
      <c r="S71" s="4">
        <v>45777</v>
      </c>
      <c r="T71" s="5" t="str">
        <f>IF(AND(R71="", S71=""), "대기자", IF(AND(R71&lt;&gt;"", S71=""), "취업 중", IF(AND(R71="", S71&lt;&gt;""), "대기자", IF(R71=S71, "", IF(R71 &lt; S71, "대기자", "취업 중")))))</f>
        <v>취업 중</v>
      </c>
      <c r="U71" s="5" t="str">
        <f>IF(J71=""," ",IF(ISNUMBER(SEARCH("소형",J71)),"소형","대형"))</f>
        <v>대형</v>
      </c>
      <c r="V71" s="4">
        <v>44317</v>
      </c>
      <c r="W71" s="5"/>
      <c r="X71" s="5"/>
      <c r="Y71" s="5"/>
      <c r="Z71" s="13" t="s">
        <v>82</v>
      </c>
      <c r="AA71" s="13" t="s">
        <v>49</v>
      </c>
      <c r="AB71" s="13" t="s">
        <v>70</v>
      </c>
      <c r="AC71" s="13" t="s">
        <v>50</v>
      </c>
      <c r="AD71" s="13" t="s">
        <v>48</v>
      </c>
      <c r="AE71" s="14"/>
      <c r="AF71" s="14"/>
      <c r="AG71" s="14"/>
      <c r="AH71" s="14" t="s">
        <v>474</v>
      </c>
      <c r="AI71" s="6"/>
    </row>
    <row r="72" spans="1:35" ht="19.899999999999999" customHeight="1" x14ac:dyDescent="0.25">
      <c r="A72" s="5">
        <v>69</v>
      </c>
      <c r="B72" s="5" t="s">
        <v>33</v>
      </c>
      <c r="C72" s="5" t="s">
        <v>475</v>
      </c>
      <c r="D72" s="5" t="s">
        <v>99</v>
      </c>
      <c r="E72" s="5">
        <v>19770507</v>
      </c>
      <c r="F72" s="5" t="s">
        <v>36</v>
      </c>
      <c r="G72" s="5" t="s">
        <v>476</v>
      </c>
      <c r="H72" s="5" t="s">
        <v>38</v>
      </c>
      <c r="I72" s="5" t="s">
        <v>477</v>
      </c>
      <c r="J72" s="5" t="s">
        <v>198</v>
      </c>
      <c r="K72" s="5" t="s">
        <v>88</v>
      </c>
      <c r="L72" s="5" t="s">
        <v>199</v>
      </c>
      <c r="M72" s="5" t="s">
        <v>200</v>
      </c>
      <c r="N72" s="5" t="s">
        <v>201</v>
      </c>
      <c r="O72" s="5" t="s">
        <v>38</v>
      </c>
      <c r="P72" s="5" t="s">
        <v>132</v>
      </c>
      <c r="Q72" s="5" t="s">
        <v>202</v>
      </c>
      <c r="R72" s="4">
        <v>45880</v>
      </c>
      <c r="S72" s="4">
        <v>45474</v>
      </c>
      <c r="T72" s="5" t="str">
        <f>IF(AND(R72="", S72=""), "대기자", IF(AND(R72&lt;&gt;"", S72=""), "취업 중", IF(AND(R72="", S72&lt;&gt;""), "대기자", IF(R72=S72, "", IF(R72 &lt; S72, "대기자", "취업 중")))))</f>
        <v>취업 중</v>
      </c>
      <c r="U72" s="5" t="str">
        <f>IF(J72=""," ",IF(ISNUMBER(SEARCH("소형",J72)),"소형","대형"))</f>
        <v>대형</v>
      </c>
      <c r="V72" s="4">
        <v>42500</v>
      </c>
      <c r="W72" s="5"/>
      <c r="X72" s="5"/>
      <c r="Y72" s="5"/>
      <c r="Z72" s="13" t="s">
        <v>154</v>
      </c>
      <c r="AA72" s="13" t="s">
        <v>94</v>
      </c>
      <c r="AB72" s="13" t="s">
        <v>70</v>
      </c>
      <c r="AC72" s="13" t="s">
        <v>48</v>
      </c>
      <c r="AD72" s="13" t="s">
        <v>50</v>
      </c>
      <c r="AE72" s="15"/>
      <c r="AF72" s="15"/>
      <c r="AG72" s="15" t="s">
        <v>274</v>
      </c>
      <c r="AH72" s="15" t="s">
        <v>478</v>
      </c>
      <c r="AI72" s="6"/>
    </row>
    <row r="73" spans="1:35" ht="19.899999999999999" customHeight="1" x14ac:dyDescent="0.25">
      <c r="A73" s="5">
        <v>70</v>
      </c>
      <c r="B73" s="5" t="s">
        <v>33</v>
      </c>
      <c r="C73" s="5" t="s">
        <v>479</v>
      </c>
      <c r="D73" s="5" t="s">
        <v>67</v>
      </c>
      <c r="E73" s="5">
        <v>19740322</v>
      </c>
      <c r="F73" s="5" t="s">
        <v>36</v>
      </c>
      <c r="G73" s="5" t="s">
        <v>480</v>
      </c>
      <c r="H73" s="5" t="s">
        <v>38</v>
      </c>
      <c r="I73" s="5" t="s">
        <v>481</v>
      </c>
      <c r="J73" s="5" t="s">
        <v>482</v>
      </c>
      <c r="K73" s="5" t="s">
        <v>483</v>
      </c>
      <c r="L73" s="5" t="s">
        <v>484</v>
      </c>
      <c r="M73" s="5" t="s">
        <v>485</v>
      </c>
      <c r="N73" s="5" t="s">
        <v>486</v>
      </c>
      <c r="O73" s="5" t="s">
        <v>38</v>
      </c>
      <c r="P73" s="5" t="s">
        <v>152</v>
      </c>
      <c r="Q73" s="5" t="s">
        <v>487</v>
      </c>
      <c r="R73" s="4">
        <v>46182</v>
      </c>
      <c r="S73" s="4">
        <v>45789</v>
      </c>
      <c r="T73" s="5" t="str">
        <f>IF(AND(R73="", S73=""), "대기자", IF(AND(R73&lt;&gt;"", S73=""), "취업 중", IF(AND(R73="", S73&lt;&gt;""), "대기자", IF(R73=S73, "", IF(R73 &lt; S73, "대기자", "취업 중")))))</f>
        <v>취업 중</v>
      </c>
      <c r="U73" s="5" t="str">
        <f>IF(J73=""," ",IF(ISNUMBER(SEARCH("소형",J73)),"소형","대형"))</f>
        <v>대형</v>
      </c>
      <c r="V73" s="4">
        <v>41730</v>
      </c>
      <c r="W73" s="5"/>
      <c r="X73" s="5"/>
      <c r="Y73" s="5"/>
      <c r="Z73" s="13"/>
      <c r="AA73" s="13"/>
      <c r="AB73" s="13"/>
      <c r="AC73" s="13"/>
      <c r="AD73" s="13"/>
      <c r="AE73" s="14"/>
      <c r="AF73" s="14"/>
      <c r="AG73" s="14"/>
      <c r="AH73" s="14"/>
      <c r="AI73" s="6"/>
    </row>
    <row r="74" spans="1:35" ht="19.899999999999999" customHeight="1" x14ac:dyDescent="0.25">
      <c r="A74" s="5">
        <v>71</v>
      </c>
      <c r="B74" s="5" t="s">
        <v>33</v>
      </c>
      <c r="C74" s="5" t="s">
        <v>488</v>
      </c>
      <c r="D74" s="5" t="s">
        <v>99</v>
      </c>
      <c r="E74" s="5">
        <v>19660209</v>
      </c>
      <c r="F74" s="5" t="s">
        <v>36</v>
      </c>
      <c r="G74" s="5" t="s">
        <v>489</v>
      </c>
      <c r="H74" s="5" t="s">
        <v>38</v>
      </c>
      <c r="I74" s="5" t="s">
        <v>490</v>
      </c>
      <c r="J74" s="5"/>
      <c r="K74" s="5"/>
      <c r="L74" s="5"/>
      <c r="M74" s="5"/>
      <c r="N74" s="5"/>
      <c r="O74" s="5"/>
      <c r="P74" s="5"/>
      <c r="Q74" s="5"/>
      <c r="R74" s="4">
        <v>45657</v>
      </c>
      <c r="S74" s="4">
        <v>46076</v>
      </c>
      <c r="T74" s="5" t="str">
        <f>IF(AND(R74="", S74=""), "대기자", IF(AND(R74&lt;&gt;"", S74=""), "취업 중", IF(AND(R74="", S74&lt;&gt;""), "대기자", IF(R74=S74, "", IF(R74 &lt; S74, "대기자", "취업 중")))))</f>
        <v>대기자</v>
      </c>
      <c r="U74" s="5" t="str">
        <f>IF(J74=""," ",IF(ISNUMBER(SEARCH("소형",J74)),"소형","대형"))</f>
        <v xml:space="preserve"> </v>
      </c>
      <c r="V74" s="4">
        <v>42459</v>
      </c>
      <c r="W74" s="5"/>
      <c r="X74" s="5"/>
      <c r="Y74" s="5"/>
      <c r="Z74" s="13"/>
      <c r="AA74" s="13"/>
      <c r="AB74" s="13"/>
      <c r="AC74" s="13"/>
      <c r="AD74" s="13"/>
      <c r="AE74" s="15"/>
      <c r="AF74" s="15"/>
      <c r="AG74" s="15"/>
      <c r="AH74" s="15"/>
      <c r="AI74" s="6"/>
    </row>
    <row r="75" spans="1:35" ht="19.899999999999999" customHeight="1" x14ac:dyDescent="0.25">
      <c r="A75" s="5">
        <v>72</v>
      </c>
      <c r="B75" s="5" t="s">
        <v>33</v>
      </c>
      <c r="C75" s="5" t="s">
        <v>491</v>
      </c>
      <c r="D75" s="5" t="s">
        <v>35</v>
      </c>
      <c r="E75" s="5">
        <v>19661215</v>
      </c>
      <c r="F75" s="5" t="s">
        <v>36</v>
      </c>
      <c r="G75" s="5" t="s">
        <v>492</v>
      </c>
      <c r="H75" s="5" t="s">
        <v>38</v>
      </c>
      <c r="I75" s="5" t="s">
        <v>493</v>
      </c>
      <c r="J75" s="5" t="s">
        <v>494</v>
      </c>
      <c r="K75" s="5" t="s">
        <v>495</v>
      </c>
      <c r="L75" s="5" t="s">
        <v>496</v>
      </c>
      <c r="M75" s="5" t="s">
        <v>497</v>
      </c>
      <c r="N75" s="5" t="s">
        <v>498</v>
      </c>
      <c r="O75" s="5" t="s">
        <v>38</v>
      </c>
      <c r="P75" s="5" t="s">
        <v>499</v>
      </c>
      <c r="Q75" s="5" t="s">
        <v>500</v>
      </c>
      <c r="R75" s="4">
        <v>45896</v>
      </c>
      <c r="S75" s="4">
        <v>45463</v>
      </c>
      <c r="T75" s="5" t="str">
        <f>IF(AND(R75="", S75=""), "대기자", IF(AND(R75&lt;&gt;"", S75=""), "취업 중", IF(AND(R75="", S75&lt;&gt;""), "대기자", IF(R75=S75, "", IF(R75 &lt; S75, "대기자", "취업 중")))))</f>
        <v>취업 중</v>
      </c>
      <c r="U75" s="5" t="str">
        <f>IF(J75=""," ",IF(ISNUMBER(SEARCH("소형",J75)),"소형","대형"))</f>
        <v>대형</v>
      </c>
      <c r="V75" s="4">
        <v>42455</v>
      </c>
      <c r="W75" s="5"/>
      <c r="X75" s="5"/>
      <c r="Y75" s="5"/>
      <c r="Z75" s="13" t="s">
        <v>47</v>
      </c>
      <c r="AA75" s="13" t="s">
        <v>48</v>
      </c>
      <c r="AB75" s="13" t="s">
        <v>49</v>
      </c>
      <c r="AC75" s="13" t="s">
        <v>48</v>
      </c>
      <c r="AD75" s="13" t="s">
        <v>50</v>
      </c>
      <c r="AE75" s="14"/>
      <c r="AF75" s="14"/>
      <c r="AG75" s="14" t="s">
        <v>184</v>
      </c>
      <c r="AH75" s="14" t="s">
        <v>501</v>
      </c>
      <c r="AI75" s="6"/>
    </row>
    <row r="76" spans="1:35" ht="19.899999999999999" customHeight="1" x14ac:dyDescent="0.25">
      <c r="A76" s="5">
        <v>73</v>
      </c>
      <c r="B76" s="5" t="s">
        <v>33</v>
      </c>
      <c r="C76" s="5" t="s">
        <v>502</v>
      </c>
      <c r="D76" s="5" t="s">
        <v>144</v>
      </c>
      <c r="E76" s="5">
        <v>19750223</v>
      </c>
      <c r="F76" s="5" t="s">
        <v>36</v>
      </c>
      <c r="G76" s="5" t="s">
        <v>503</v>
      </c>
      <c r="H76" s="5" t="s">
        <v>38</v>
      </c>
      <c r="I76" s="5" t="s">
        <v>504</v>
      </c>
      <c r="J76" s="5"/>
      <c r="K76" s="5"/>
      <c r="L76" s="5"/>
      <c r="M76" s="5"/>
      <c r="N76" s="5"/>
      <c r="O76" s="5"/>
      <c r="P76" s="5"/>
      <c r="Q76" s="5"/>
      <c r="R76" s="4">
        <v>45945</v>
      </c>
      <c r="S76" s="4">
        <v>46174</v>
      </c>
      <c r="T76" s="5" t="str">
        <f>IF(AND(R76="", S76=""), "대기자", IF(AND(R76&lt;&gt;"", S76=""), "취업 중", IF(AND(R76="", S76&lt;&gt;""), "대기자", IF(R76=S76, "", IF(R76 &lt; S76, "대기자", "취업 중")))))</f>
        <v>대기자</v>
      </c>
      <c r="U76" s="5" t="str">
        <f>IF(J76=""," ",IF(ISNUMBER(SEARCH("소형",J76)),"소형","대형"))</f>
        <v xml:space="preserve"> </v>
      </c>
      <c r="V76" s="4">
        <v>40954</v>
      </c>
      <c r="W76" s="5"/>
      <c r="X76" s="5"/>
      <c r="Y76" s="5"/>
      <c r="Z76" s="13"/>
      <c r="AA76" s="13"/>
      <c r="AB76" s="13"/>
      <c r="AC76" s="13"/>
      <c r="AD76" s="13"/>
      <c r="AE76" s="15"/>
      <c r="AF76" s="15"/>
      <c r="AG76" s="15" t="s">
        <v>184</v>
      </c>
      <c r="AH76" s="15" t="s">
        <v>505</v>
      </c>
      <c r="AI76" s="6"/>
    </row>
    <row r="77" spans="1:35" ht="19.899999999999999" customHeight="1" x14ac:dyDescent="0.25">
      <c r="A77" s="5">
        <v>74</v>
      </c>
      <c r="B77" s="5" t="s">
        <v>33</v>
      </c>
      <c r="C77" s="5" t="s">
        <v>506</v>
      </c>
      <c r="D77" s="5" t="s">
        <v>179</v>
      </c>
      <c r="E77" s="5">
        <v>19690104</v>
      </c>
      <c r="F77" s="5" t="s">
        <v>36</v>
      </c>
      <c r="G77" s="5" t="s">
        <v>507</v>
      </c>
      <c r="H77" s="5" t="s">
        <v>38</v>
      </c>
      <c r="I77" s="5" t="s">
        <v>508</v>
      </c>
      <c r="J77" s="5" t="s">
        <v>59</v>
      </c>
      <c r="K77" s="5" t="s">
        <v>509</v>
      </c>
      <c r="L77" s="5" t="s">
        <v>510</v>
      </c>
      <c r="M77" s="5" t="s">
        <v>511</v>
      </c>
      <c r="N77" s="5" t="s">
        <v>63</v>
      </c>
      <c r="O77" s="5" t="s">
        <v>38</v>
      </c>
      <c r="P77" s="5" t="s">
        <v>512</v>
      </c>
      <c r="Q77" s="5" t="s">
        <v>513</v>
      </c>
      <c r="R77" s="4">
        <v>46120</v>
      </c>
      <c r="S77" s="4">
        <v>45974</v>
      </c>
      <c r="T77" s="5" t="str">
        <f>IF(AND(R77="", S77=""), "대기자", IF(AND(R77&lt;&gt;"", S77=""), "취업 중", IF(AND(R77="", S77&lt;&gt;""), "대기자", IF(R77=S77, "", IF(R77 &lt; S77, "대기자", "취업 중")))))</f>
        <v>취업 중</v>
      </c>
      <c r="U77" s="5" t="str">
        <f>IF(J77=""," ",IF(ISNUMBER(SEARCH("소형",J77)),"소형","대형"))</f>
        <v>대형</v>
      </c>
      <c r="V77" s="4">
        <v>42178</v>
      </c>
      <c r="W77" s="5"/>
      <c r="X77" s="5"/>
      <c r="Y77" s="5"/>
      <c r="Z77" s="13">
        <v>15</v>
      </c>
      <c r="AA77" s="13">
        <v>6</v>
      </c>
      <c r="AB77" s="13">
        <v>7</v>
      </c>
      <c r="AC77" s="13">
        <v>0</v>
      </c>
      <c r="AD77" s="13">
        <v>2</v>
      </c>
      <c r="AE77" s="14"/>
      <c r="AF77" s="14"/>
      <c r="AG77" s="14"/>
      <c r="AH77" s="14" t="s">
        <v>514</v>
      </c>
      <c r="AI77" s="6"/>
    </row>
    <row r="78" spans="1:35" ht="19.899999999999999" customHeight="1" x14ac:dyDescent="0.25">
      <c r="A78" s="5">
        <v>75</v>
      </c>
      <c r="B78" s="5" t="s">
        <v>33</v>
      </c>
      <c r="C78" s="5" t="s">
        <v>515</v>
      </c>
      <c r="D78" s="5" t="s">
        <v>72</v>
      </c>
      <c r="E78" s="5">
        <v>19690829</v>
      </c>
      <c r="F78" s="5" t="s">
        <v>36</v>
      </c>
      <c r="G78" s="5" t="s">
        <v>516</v>
      </c>
      <c r="H78" s="5" t="s">
        <v>38</v>
      </c>
      <c r="I78" s="5" t="s">
        <v>517</v>
      </c>
      <c r="J78" s="5" t="s">
        <v>518</v>
      </c>
      <c r="K78" s="5" t="s">
        <v>160</v>
      </c>
      <c r="L78" s="5" t="s">
        <v>519</v>
      </c>
      <c r="M78" s="5" t="s">
        <v>520</v>
      </c>
      <c r="N78" s="5" t="s">
        <v>521</v>
      </c>
      <c r="O78" s="5" t="s">
        <v>38</v>
      </c>
      <c r="P78" s="5" t="s">
        <v>64</v>
      </c>
      <c r="Q78" s="5" t="s">
        <v>522</v>
      </c>
      <c r="R78" s="4">
        <v>45764</v>
      </c>
      <c r="S78" s="4">
        <v>45489</v>
      </c>
      <c r="T78" s="5" t="str">
        <f>IF(AND(R78="", S78=""), "대기자", IF(AND(R78&lt;&gt;"", S78=""), "취업 중", IF(AND(R78="", S78&lt;&gt;""), "대기자", IF(R78=S78, "", IF(R78 &lt; S78, "대기자", "취업 중")))))</f>
        <v>취업 중</v>
      </c>
      <c r="U78" s="5" t="str">
        <f>IF(J78=""," ",IF(ISNUMBER(SEARCH("소형",J78)),"소형","대형"))</f>
        <v>대형</v>
      </c>
      <c r="V78" s="4">
        <v>39448</v>
      </c>
      <c r="W78" s="5"/>
      <c r="X78" s="5"/>
      <c r="Y78" s="5"/>
      <c r="Z78" s="13" t="s">
        <v>82</v>
      </c>
      <c r="AA78" s="13" t="s">
        <v>70</v>
      </c>
      <c r="AB78" s="13" t="s">
        <v>49</v>
      </c>
      <c r="AC78" s="13" t="s">
        <v>48</v>
      </c>
      <c r="AD78" s="13" t="s">
        <v>50</v>
      </c>
      <c r="AE78" s="15"/>
      <c r="AF78" s="15"/>
      <c r="AG78" s="15" t="s">
        <v>523</v>
      </c>
      <c r="AH78" s="15" t="s">
        <v>524</v>
      </c>
      <c r="AI78" s="6"/>
    </row>
    <row r="79" spans="1:35" ht="19.899999999999999" customHeight="1" x14ac:dyDescent="0.25">
      <c r="A79" s="5">
        <v>76</v>
      </c>
      <c r="B79" s="5" t="s">
        <v>33</v>
      </c>
      <c r="C79" s="5" t="s">
        <v>525</v>
      </c>
      <c r="D79" s="5" t="s">
        <v>526</v>
      </c>
      <c r="E79" s="5">
        <v>19671001</v>
      </c>
      <c r="F79" s="5" t="s">
        <v>36</v>
      </c>
      <c r="G79" s="5" t="s">
        <v>527</v>
      </c>
      <c r="H79" s="5" t="s">
        <v>38</v>
      </c>
      <c r="I79" s="5" t="s">
        <v>528</v>
      </c>
      <c r="J79" s="5"/>
      <c r="K79" s="5"/>
      <c r="L79" s="5"/>
      <c r="M79" s="5"/>
      <c r="N79" s="5"/>
      <c r="O79" s="5"/>
      <c r="P79" s="5"/>
      <c r="Q79" s="5"/>
      <c r="R79" s="4">
        <v>45038</v>
      </c>
      <c r="S79" s="4">
        <v>46079</v>
      </c>
      <c r="T79" s="5" t="str">
        <f>IF(AND(R79="", S79=""), "대기자", IF(AND(R79&lt;&gt;"", S79=""), "취업 중", IF(AND(R79="", S79&lt;&gt;""), "대기자", IF(R79=S79, "", IF(R79 &lt; S79, "대기자", "취업 중")))))</f>
        <v>대기자</v>
      </c>
      <c r="U79" s="5" t="str">
        <f>IF(J79=""," ",IF(ISNUMBER(SEARCH("소형",J79)),"소형","대형"))</f>
        <v xml:space="preserve"> </v>
      </c>
      <c r="V79" s="4">
        <v>41275</v>
      </c>
      <c r="W79" s="5"/>
      <c r="X79" s="5"/>
      <c r="Y79" s="5"/>
      <c r="Z79" s="13"/>
      <c r="AA79" s="13"/>
      <c r="AB79" s="13"/>
      <c r="AC79" s="13"/>
      <c r="AD79" s="13"/>
      <c r="AE79" s="14"/>
      <c r="AF79" s="14"/>
      <c r="AG79" s="14" t="s">
        <v>83</v>
      </c>
      <c r="AH79" s="14"/>
      <c r="AI79" s="6"/>
    </row>
    <row r="80" spans="1:35" ht="19.899999999999999" customHeight="1" x14ac:dyDescent="0.25">
      <c r="A80" s="5">
        <v>77</v>
      </c>
      <c r="B80" s="5" t="s">
        <v>33</v>
      </c>
      <c r="C80" s="5" t="s">
        <v>529</v>
      </c>
      <c r="D80" s="5" t="s">
        <v>144</v>
      </c>
      <c r="E80" s="5">
        <v>19951001</v>
      </c>
      <c r="F80" s="5" t="s">
        <v>36</v>
      </c>
      <c r="G80" s="5" t="s">
        <v>530</v>
      </c>
      <c r="H80" s="5" t="s">
        <v>38</v>
      </c>
      <c r="I80" s="5" t="s">
        <v>531</v>
      </c>
      <c r="J80" s="5"/>
      <c r="K80" s="5"/>
      <c r="L80" s="5"/>
      <c r="M80" s="5"/>
      <c r="N80" s="5"/>
      <c r="O80" s="5"/>
      <c r="P80" s="5"/>
      <c r="Q80" s="5"/>
      <c r="R80" s="4">
        <v>45965</v>
      </c>
      <c r="S80" s="4">
        <v>46235</v>
      </c>
      <c r="T80" s="5" t="str">
        <f>IF(AND(R80="", S80=""), "대기자", IF(AND(R80&lt;&gt;"", S80=""), "취업 중", IF(AND(R80="", S80&lt;&gt;""), "대기자", IF(R80=S80, "", IF(R80 &lt; S80, "대기자", "취업 중")))))</f>
        <v>대기자</v>
      </c>
      <c r="U80" s="5" t="str">
        <f>IF(J80=""," ",IF(ISNUMBER(SEARCH("소형",J80)),"소형","대형"))</f>
        <v xml:space="preserve"> </v>
      </c>
      <c r="V80" s="4">
        <v>45627</v>
      </c>
      <c r="W80" s="5"/>
      <c r="X80" s="5"/>
      <c r="Y80" s="5"/>
      <c r="Z80" s="13"/>
      <c r="AA80" s="13"/>
      <c r="AB80" s="13"/>
      <c r="AC80" s="13"/>
      <c r="AD80" s="13"/>
      <c r="AE80" s="15"/>
      <c r="AF80" s="15"/>
      <c r="AG80" s="15"/>
      <c r="AH80" s="15"/>
      <c r="AI80" s="6"/>
    </row>
    <row r="81" spans="1:35" ht="19.899999999999999" customHeight="1" x14ac:dyDescent="0.25">
      <c r="A81" s="5">
        <v>78</v>
      </c>
      <c r="B81" s="5" t="s">
        <v>33</v>
      </c>
      <c r="C81" s="5" t="s">
        <v>532</v>
      </c>
      <c r="D81" s="5" t="s">
        <v>285</v>
      </c>
      <c r="E81" s="5">
        <v>19750730</v>
      </c>
      <c r="F81" s="5" t="s">
        <v>36</v>
      </c>
      <c r="G81" s="5" t="s">
        <v>533</v>
      </c>
      <c r="H81" s="5" t="s">
        <v>38</v>
      </c>
      <c r="I81" s="5" t="s">
        <v>534</v>
      </c>
      <c r="J81" s="5"/>
      <c r="K81" s="5"/>
      <c r="L81" s="5"/>
      <c r="M81" s="5"/>
      <c r="N81" s="5"/>
      <c r="O81" s="5"/>
      <c r="P81" s="5"/>
      <c r="Q81" s="5"/>
      <c r="R81" s="4">
        <v>45523</v>
      </c>
      <c r="S81" s="4">
        <v>46154</v>
      </c>
      <c r="T81" s="5" t="str">
        <f>IF(AND(R81="", S81=""), "대기자", IF(AND(R81&lt;&gt;"", S81=""), "취업 중", IF(AND(R81="", S81&lt;&gt;""), "대기자", IF(R81=S81, "", IF(R81 &lt; S81, "대기자", "취업 중")))))</f>
        <v>대기자</v>
      </c>
      <c r="U81" s="5" t="str">
        <f>IF(J81=""," ",IF(ISNUMBER(SEARCH("소형",J81)),"소형","대형"))</f>
        <v xml:space="preserve"> </v>
      </c>
      <c r="V81" s="4">
        <v>39083</v>
      </c>
      <c r="W81" s="5"/>
      <c r="X81" s="5"/>
      <c r="Y81" s="5"/>
      <c r="Z81" s="13"/>
      <c r="AA81" s="13"/>
      <c r="AB81" s="13"/>
      <c r="AC81" s="13"/>
      <c r="AD81" s="13"/>
      <c r="AE81" s="14"/>
      <c r="AF81" s="14"/>
      <c r="AG81" s="14" t="s">
        <v>193</v>
      </c>
      <c r="AH81" s="14"/>
      <c r="AI81" s="6"/>
    </row>
    <row r="82" spans="1:35" ht="19.899999999999999" customHeight="1" x14ac:dyDescent="0.25">
      <c r="A82" s="5">
        <v>79</v>
      </c>
      <c r="B82" s="5" t="s">
        <v>33</v>
      </c>
      <c r="C82" s="5" t="s">
        <v>535</v>
      </c>
      <c r="D82" s="5" t="s">
        <v>35</v>
      </c>
      <c r="E82" s="5">
        <v>19670808</v>
      </c>
      <c r="F82" s="5" t="s">
        <v>52</v>
      </c>
      <c r="G82" s="5" t="s">
        <v>536</v>
      </c>
      <c r="H82" s="5" t="s">
        <v>38</v>
      </c>
      <c r="I82" s="5" t="s">
        <v>537</v>
      </c>
      <c r="J82" s="5" t="s">
        <v>538</v>
      </c>
      <c r="K82" s="5" t="s">
        <v>539</v>
      </c>
      <c r="L82" s="5" t="s">
        <v>540</v>
      </c>
      <c r="M82" s="5" t="s">
        <v>541</v>
      </c>
      <c r="N82" s="5" t="s">
        <v>542</v>
      </c>
      <c r="O82" s="5" t="s">
        <v>38</v>
      </c>
      <c r="P82" s="5" t="s">
        <v>45</v>
      </c>
      <c r="Q82" s="5" t="s">
        <v>543</v>
      </c>
      <c r="R82" s="4">
        <v>46174</v>
      </c>
      <c r="S82" s="4">
        <v>45472</v>
      </c>
      <c r="T82" s="5" t="str">
        <f>IF(AND(R82="", S82=""), "대기자", IF(AND(R82&lt;&gt;"", S82=""), "취업 중", IF(AND(R82="", S82&lt;&gt;""), "대기자", IF(R82=S82, "", IF(R82 &lt; S82, "대기자", "취업 중")))))</f>
        <v>취업 중</v>
      </c>
      <c r="U82" s="5" t="str">
        <f>IF(J82=""," ",IF(ISNUMBER(SEARCH("소형",J82)),"소형","대형"))</f>
        <v>대형</v>
      </c>
      <c r="V82" s="4">
        <v>39845</v>
      </c>
      <c r="W82" s="5"/>
      <c r="X82" s="5"/>
      <c r="Y82" s="5"/>
      <c r="Z82" s="13" t="s">
        <v>70</v>
      </c>
      <c r="AA82" s="13" t="s">
        <v>48</v>
      </c>
      <c r="AB82" s="13" t="s">
        <v>48</v>
      </c>
      <c r="AC82" s="13" t="s">
        <v>50</v>
      </c>
      <c r="AD82" s="13" t="s">
        <v>48</v>
      </c>
      <c r="AE82" s="15"/>
      <c r="AF82" s="15"/>
      <c r="AG82" s="15"/>
      <c r="AH82" s="15"/>
      <c r="AI82" s="6"/>
    </row>
    <row r="83" spans="1:35" ht="19.899999999999999" customHeight="1" x14ac:dyDescent="0.25">
      <c r="A83" s="5">
        <v>80</v>
      </c>
      <c r="B83" s="5" t="s">
        <v>33</v>
      </c>
      <c r="C83" s="5" t="s">
        <v>544</v>
      </c>
      <c r="D83" s="5" t="s">
        <v>285</v>
      </c>
      <c r="E83" s="5">
        <v>19930414</v>
      </c>
      <c r="F83" s="5" t="s">
        <v>36</v>
      </c>
      <c r="G83" s="5" t="s">
        <v>545</v>
      </c>
      <c r="H83" s="5" t="s">
        <v>38</v>
      </c>
      <c r="I83" s="5" t="s">
        <v>546</v>
      </c>
      <c r="J83" s="5"/>
      <c r="K83" s="5"/>
      <c r="L83" s="5"/>
      <c r="M83" s="5"/>
      <c r="N83" s="5"/>
      <c r="O83" s="5"/>
      <c r="P83" s="5"/>
      <c r="Q83" s="5"/>
      <c r="R83" s="4">
        <v>46113</v>
      </c>
      <c r="S83" s="4">
        <v>46265</v>
      </c>
      <c r="T83" s="5" t="str">
        <f>IF(AND(R83="", S83=""), "대기자", IF(AND(R83&lt;&gt;"", S83=""), "취업 중", IF(AND(R83="", S83&lt;&gt;""), "대기자", IF(R83=S83, "", IF(R83 &lt; S83, "대기자", "취업 중")))))</f>
        <v>대기자</v>
      </c>
      <c r="U83" s="5" t="str">
        <f>IF(J83=""," ",IF(ISNUMBER(SEARCH("소형",J83)),"소형","대형"))</f>
        <v xml:space="preserve"> </v>
      </c>
      <c r="V83" s="4">
        <v>45627</v>
      </c>
      <c r="W83" s="5"/>
      <c r="X83" s="5"/>
      <c r="Y83" s="5"/>
      <c r="Z83" s="13"/>
      <c r="AA83" s="13"/>
      <c r="AB83" s="13"/>
      <c r="AC83" s="13"/>
      <c r="AD83" s="13"/>
      <c r="AE83" s="14"/>
      <c r="AF83" s="14"/>
      <c r="AG83" s="14"/>
      <c r="AH83" s="14"/>
      <c r="AI83" s="6"/>
    </row>
    <row r="84" spans="1:35" ht="19.899999999999999" customHeight="1" x14ac:dyDescent="0.25">
      <c r="A84" s="5">
        <v>81</v>
      </c>
      <c r="B84" s="5" t="s">
        <v>33</v>
      </c>
      <c r="C84" s="5" t="s">
        <v>547</v>
      </c>
      <c r="D84" s="5" t="s">
        <v>72</v>
      </c>
      <c r="E84" s="5">
        <v>19720927</v>
      </c>
      <c r="F84" s="5" t="s">
        <v>36</v>
      </c>
      <c r="G84" s="5" t="s">
        <v>548</v>
      </c>
      <c r="H84" s="5" t="s">
        <v>38</v>
      </c>
      <c r="I84" s="5" t="s">
        <v>549</v>
      </c>
      <c r="J84" s="5" t="s">
        <v>59</v>
      </c>
      <c r="K84" s="5" t="s">
        <v>60</v>
      </c>
      <c r="L84" s="5" t="s">
        <v>550</v>
      </c>
      <c r="M84" s="5" t="s">
        <v>62</v>
      </c>
      <c r="N84" s="5" t="s">
        <v>63</v>
      </c>
      <c r="O84" s="5" t="s">
        <v>38</v>
      </c>
      <c r="P84" s="5" t="s">
        <v>64</v>
      </c>
      <c r="Q84" s="5" t="s">
        <v>172</v>
      </c>
      <c r="R84" s="4">
        <v>45932</v>
      </c>
      <c r="S84" s="4">
        <v>45603</v>
      </c>
      <c r="T84" s="5" t="str">
        <f>IF(AND(R84="", S84=""), "대기자", IF(AND(R84&lt;&gt;"", S84=""), "취업 중", IF(AND(R84="", S84&lt;&gt;""), "대기자", IF(R84=S84, "", IF(R84 &lt; S84, "대기자", "취업 중")))))</f>
        <v>취업 중</v>
      </c>
      <c r="U84" s="5" t="str">
        <f>IF(J84=""," ",IF(ISNUMBER(SEARCH("소형",J84)),"소형","대형"))</f>
        <v>대형</v>
      </c>
      <c r="V84" s="4">
        <v>42522</v>
      </c>
      <c r="W84" s="5"/>
      <c r="X84" s="5"/>
      <c r="Y84" s="5"/>
      <c r="Z84" s="13">
        <v>14</v>
      </c>
      <c r="AA84" s="13">
        <v>5</v>
      </c>
      <c r="AB84" s="13">
        <v>6</v>
      </c>
      <c r="AC84" s="13">
        <v>0</v>
      </c>
      <c r="AD84" s="13">
        <v>3</v>
      </c>
      <c r="AE84" s="15"/>
      <c r="AF84" s="15"/>
      <c r="AG84" s="15" t="s">
        <v>83</v>
      </c>
      <c r="AH84" s="15" t="s">
        <v>551</v>
      </c>
      <c r="AI84" s="6"/>
    </row>
    <row r="85" spans="1:35" ht="19.899999999999999" customHeight="1" x14ac:dyDescent="0.25">
      <c r="A85" s="5">
        <v>82</v>
      </c>
      <c r="B85" s="5" t="s">
        <v>33</v>
      </c>
      <c r="C85" s="5" t="s">
        <v>552</v>
      </c>
      <c r="D85" s="5" t="s">
        <v>526</v>
      </c>
      <c r="E85" s="5">
        <v>19791030</v>
      </c>
      <c r="F85" s="5" t="s">
        <v>36</v>
      </c>
      <c r="G85" s="5" t="s">
        <v>553</v>
      </c>
      <c r="H85" s="5" t="s">
        <v>38</v>
      </c>
      <c r="I85" s="5" t="s">
        <v>554</v>
      </c>
      <c r="J85" s="5" t="s">
        <v>307</v>
      </c>
      <c r="K85" s="5" t="s">
        <v>555</v>
      </c>
      <c r="L85" s="5" t="s">
        <v>556</v>
      </c>
      <c r="M85" s="5" t="s">
        <v>557</v>
      </c>
      <c r="N85" s="5" t="s">
        <v>558</v>
      </c>
      <c r="O85" s="5" t="s">
        <v>38</v>
      </c>
      <c r="P85" s="5" t="s">
        <v>499</v>
      </c>
      <c r="Q85" s="5" t="s">
        <v>559</v>
      </c>
      <c r="R85" s="4">
        <v>46177</v>
      </c>
      <c r="S85" s="4">
        <v>46002</v>
      </c>
      <c r="T85" s="5" t="str">
        <f>IF(AND(R85="", S85=""), "대기자", IF(AND(R85&lt;&gt;"", S85=""), "취업 중", IF(AND(R85="", S85&lt;&gt;""), "대기자", IF(R85=S85, "", IF(R85 &lt; S85, "대기자", "취업 중")))))</f>
        <v>취업 중</v>
      </c>
      <c r="U85" s="5" t="str">
        <f>IF(J85=""," ",IF(ISNUMBER(SEARCH("소형",J85)),"소형","대형"))</f>
        <v>대형</v>
      </c>
      <c r="V85" s="4">
        <v>39995</v>
      </c>
      <c r="W85" s="5"/>
      <c r="X85" s="5"/>
      <c r="Y85" s="5"/>
      <c r="Z85" s="13" t="s">
        <v>49</v>
      </c>
      <c r="AA85" s="13" t="s">
        <v>48</v>
      </c>
      <c r="AB85" s="13" t="s">
        <v>48</v>
      </c>
      <c r="AC85" s="13" t="s">
        <v>50</v>
      </c>
      <c r="AD85" s="13" t="s">
        <v>50</v>
      </c>
      <c r="AE85" s="14"/>
      <c r="AF85" s="14"/>
      <c r="AG85" s="14"/>
      <c r="AH85" s="14"/>
      <c r="AI85" s="6"/>
    </row>
    <row r="86" spans="1:35" ht="19.899999999999999" customHeight="1" x14ac:dyDescent="0.25">
      <c r="A86" s="5">
        <v>83</v>
      </c>
      <c r="B86" s="5" t="s">
        <v>33</v>
      </c>
      <c r="C86" s="5" t="s">
        <v>560</v>
      </c>
      <c r="D86" s="5" t="s">
        <v>285</v>
      </c>
      <c r="E86" s="5">
        <v>19760510</v>
      </c>
      <c r="F86" s="5" t="s">
        <v>36</v>
      </c>
      <c r="G86" s="5" t="s">
        <v>561</v>
      </c>
      <c r="H86" s="5" t="s">
        <v>38</v>
      </c>
      <c r="I86" s="5" t="s">
        <v>562</v>
      </c>
      <c r="J86" s="5" t="s">
        <v>263</v>
      </c>
      <c r="K86" s="5" t="s">
        <v>409</v>
      </c>
      <c r="L86" s="5" t="s">
        <v>563</v>
      </c>
      <c r="M86" s="5" t="s">
        <v>564</v>
      </c>
      <c r="N86" s="5" t="s">
        <v>565</v>
      </c>
      <c r="O86" s="5" t="s">
        <v>38</v>
      </c>
      <c r="P86" s="5" t="s">
        <v>152</v>
      </c>
      <c r="Q86" s="5" t="s">
        <v>566</v>
      </c>
      <c r="R86" s="4">
        <v>46073</v>
      </c>
      <c r="S86" s="4">
        <v>45880</v>
      </c>
      <c r="T86" s="5" t="str">
        <f>IF(AND(R86="", S86=""), "대기자", IF(AND(R86&lt;&gt;"", S86=""), "취업 중", IF(AND(R86="", S86&lt;&gt;""), "대기자", IF(R86=S86, "", IF(R86 &lt; S86, "대기자", "취업 중")))))</f>
        <v>취업 중</v>
      </c>
      <c r="U86" s="5" t="str">
        <f>IF(J86=""," ",IF(ISNUMBER(SEARCH("소형",J86)),"소형","대형"))</f>
        <v>대형</v>
      </c>
      <c r="V86" s="4">
        <v>43632</v>
      </c>
      <c r="W86" s="5"/>
      <c r="X86" s="5"/>
      <c r="Y86" s="5"/>
      <c r="Z86" s="13" t="s">
        <v>47</v>
      </c>
      <c r="AA86" s="13">
        <v>2</v>
      </c>
      <c r="AB86" s="13" t="s">
        <v>49</v>
      </c>
      <c r="AC86" s="13">
        <v>0</v>
      </c>
      <c r="AD86" s="13" t="s">
        <v>50</v>
      </c>
      <c r="AE86" s="15"/>
      <c r="AF86" s="15"/>
      <c r="AG86" s="15"/>
      <c r="AH86" s="15" t="s">
        <v>567</v>
      </c>
      <c r="AI86" s="6"/>
    </row>
    <row r="87" spans="1:35" ht="19.899999999999999" customHeight="1" x14ac:dyDescent="0.25">
      <c r="A87" s="5">
        <v>84</v>
      </c>
      <c r="B87" s="5" t="s">
        <v>33</v>
      </c>
      <c r="C87" s="5" t="s">
        <v>568</v>
      </c>
      <c r="D87" s="5" t="s">
        <v>526</v>
      </c>
      <c r="E87" s="5">
        <v>19940326</v>
      </c>
      <c r="F87" s="5" t="s">
        <v>36</v>
      </c>
      <c r="G87" s="5" t="s">
        <v>569</v>
      </c>
      <c r="H87" s="5" t="s">
        <v>38</v>
      </c>
      <c r="I87" s="5" t="s">
        <v>570</v>
      </c>
      <c r="J87" s="5" t="s">
        <v>198</v>
      </c>
      <c r="K87" s="5" t="s">
        <v>148</v>
      </c>
      <c r="L87" s="5" t="s">
        <v>149</v>
      </c>
      <c r="M87" s="5" t="s">
        <v>150</v>
      </c>
      <c r="N87" s="5" t="s">
        <v>571</v>
      </c>
      <c r="O87" s="5" t="s">
        <v>38</v>
      </c>
      <c r="P87" s="5" t="s">
        <v>152</v>
      </c>
      <c r="Q87" s="5" t="s">
        <v>153</v>
      </c>
      <c r="R87" s="4">
        <v>45743</v>
      </c>
      <c r="S87" s="4">
        <v>45349</v>
      </c>
      <c r="T87" s="5" t="str">
        <f>IF(AND(R87="", S87=""), "대기자", IF(AND(R87&lt;&gt;"", S87=""), "취업 중", IF(AND(R87="", S87&lt;&gt;""), "대기자", IF(R87=S87, "", IF(R87 &lt; S87, "대기자", "취업 중")))))</f>
        <v>취업 중</v>
      </c>
      <c r="U87" s="5" t="str">
        <f>IF(J87=""," ",IF(ISNUMBER(SEARCH("소형",J87)),"소형","대형"))</f>
        <v>대형</v>
      </c>
      <c r="V87" s="4">
        <v>43647</v>
      </c>
      <c r="W87" s="5"/>
      <c r="X87" s="5"/>
      <c r="Y87" s="5"/>
      <c r="Z87" s="13" t="s">
        <v>47</v>
      </c>
      <c r="AA87" s="13" t="s">
        <v>48</v>
      </c>
      <c r="AB87" s="13" t="s">
        <v>49</v>
      </c>
      <c r="AC87" s="13" t="s">
        <v>50</v>
      </c>
      <c r="AD87" s="13" t="s">
        <v>48</v>
      </c>
      <c r="AE87" s="14"/>
      <c r="AF87" s="14"/>
      <c r="AG87" s="14" t="s">
        <v>572</v>
      </c>
      <c r="AH87" s="14" t="s">
        <v>573</v>
      </c>
      <c r="AI87" s="6"/>
    </row>
    <row r="88" spans="1:35" ht="19.899999999999999" customHeight="1" x14ac:dyDescent="0.25">
      <c r="A88" s="5">
        <v>85</v>
      </c>
      <c r="B88" s="5" t="s">
        <v>33</v>
      </c>
      <c r="C88" s="5" t="s">
        <v>574</v>
      </c>
      <c r="D88" s="5" t="s">
        <v>144</v>
      </c>
      <c r="E88" s="5">
        <v>19720728</v>
      </c>
      <c r="F88" s="5" t="s">
        <v>36</v>
      </c>
      <c r="G88" s="5" t="s">
        <v>575</v>
      </c>
      <c r="H88" s="5" t="s">
        <v>38</v>
      </c>
      <c r="I88" s="5" t="s">
        <v>576</v>
      </c>
      <c r="J88" s="5"/>
      <c r="K88" s="5"/>
      <c r="L88" s="5"/>
      <c r="M88" s="5"/>
      <c r="N88" s="5"/>
      <c r="O88" s="5"/>
      <c r="P88" s="5"/>
      <c r="Q88" s="5"/>
      <c r="R88" s="4">
        <v>45033</v>
      </c>
      <c r="S88" s="4">
        <v>45464</v>
      </c>
      <c r="T88" s="5" t="str">
        <f>IF(AND(R88="", S88=""), "대기자", IF(AND(R88&lt;&gt;"", S88=""), "취업 중", IF(AND(R88="", S88&lt;&gt;""), "대기자", IF(R88=S88, "", IF(R88 &lt; S88, "대기자", "취업 중")))))</f>
        <v>대기자</v>
      </c>
      <c r="U88" s="5" t="str">
        <f>IF(J88=""," ",IF(ISNUMBER(SEARCH("소형",J88)),"소형","대형"))</f>
        <v xml:space="preserve"> </v>
      </c>
      <c r="V88" s="4">
        <v>42248</v>
      </c>
      <c r="W88" s="5"/>
      <c r="X88" s="5"/>
      <c r="Y88" s="5"/>
      <c r="Z88" s="13"/>
      <c r="AA88" s="13"/>
      <c r="AB88" s="13"/>
      <c r="AC88" s="13"/>
      <c r="AD88" s="13"/>
      <c r="AE88" s="15"/>
      <c r="AF88" s="15"/>
      <c r="AG88" s="15"/>
      <c r="AH88" s="15"/>
      <c r="AI88" s="6"/>
    </row>
    <row r="89" spans="1:35" ht="19.899999999999999" customHeight="1" x14ac:dyDescent="0.25">
      <c r="A89" s="5">
        <v>86</v>
      </c>
      <c r="B89" s="5" t="s">
        <v>33</v>
      </c>
      <c r="C89" s="5" t="s">
        <v>577</v>
      </c>
      <c r="D89" s="5" t="s">
        <v>72</v>
      </c>
      <c r="E89" s="5">
        <v>19840421</v>
      </c>
      <c r="F89" s="5" t="s">
        <v>36</v>
      </c>
      <c r="G89" s="5" t="s">
        <v>578</v>
      </c>
      <c r="H89" s="5" t="s">
        <v>38</v>
      </c>
      <c r="I89" s="5" t="s">
        <v>579</v>
      </c>
      <c r="J89" s="5" t="s">
        <v>59</v>
      </c>
      <c r="K89" s="5" t="s">
        <v>60</v>
      </c>
      <c r="L89" s="5" t="s">
        <v>580</v>
      </c>
      <c r="M89" s="5" t="s">
        <v>62</v>
      </c>
      <c r="N89" s="5" t="s">
        <v>63</v>
      </c>
      <c r="O89" s="5" t="s">
        <v>38</v>
      </c>
      <c r="P89" s="5" t="s">
        <v>64</v>
      </c>
      <c r="Q89" s="5" t="s">
        <v>65</v>
      </c>
      <c r="R89" s="4">
        <v>46281</v>
      </c>
      <c r="S89" s="4">
        <v>46146</v>
      </c>
      <c r="T89" s="5" t="str">
        <f>IF(AND(R89="", S89=""), "대기자", IF(AND(R89&lt;&gt;"", S89=""), "취업 중", IF(AND(R89="", S89&lt;&gt;""), "대기자", IF(R89=S89, "", IF(R89 &lt; S89, "대기자", "취업 중")))))</f>
        <v>취업 중</v>
      </c>
      <c r="U89" s="5" t="str">
        <f>IF(J89=""," ",IF(ISNUMBER(SEARCH("소형",J89)),"소형","대형"))</f>
        <v>대형</v>
      </c>
      <c r="V89" s="4">
        <v>43800</v>
      </c>
      <c r="W89" s="5"/>
      <c r="X89" s="5"/>
      <c r="Y89" s="5"/>
      <c r="Z89" s="18"/>
      <c r="AA89" s="18"/>
      <c r="AB89" s="18"/>
      <c r="AC89" s="18"/>
      <c r="AD89" s="18"/>
      <c r="AE89" s="14"/>
      <c r="AF89" s="14"/>
      <c r="AG89" s="14"/>
      <c r="AH89" s="14"/>
      <c r="AI89" s="6"/>
    </row>
    <row r="90" spans="1:35" ht="19.899999999999999" customHeight="1" x14ac:dyDescent="0.25">
      <c r="A90" s="5">
        <v>87</v>
      </c>
      <c r="B90" s="5" t="s">
        <v>33</v>
      </c>
      <c r="C90" s="5" t="s">
        <v>581</v>
      </c>
      <c r="D90" s="5" t="s">
        <v>144</v>
      </c>
      <c r="E90" s="5">
        <v>19810903</v>
      </c>
      <c r="F90" s="5" t="s">
        <v>36</v>
      </c>
      <c r="G90" s="5" t="s">
        <v>582</v>
      </c>
      <c r="H90" s="5" t="s">
        <v>38</v>
      </c>
      <c r="I90" s="5" t="s">
        <v>583</v>
      </c>
      <c r="J90" s="5" t="s">
        <v>584</v>
      </c>
      <c r="K90" s="5" t="s">
        <v>321</v>
      </c>
      <c r="L90" s="5" t="s">
        <v>585</v>
      </c>
      <c r="M90" s="5" t="s">
        <v>586</v>
      </c>
      <c r="N90" s="5" t="s">
        <v>587</v>
      </c>
      <c r="O90" s="5" t="s">
        <v>38</v>
      </c>
      <c r="P90" s="5" t="s">
        <v>92</v>
      </c>
      <c r="Q90" s="5" t="s">
        <v>588</v>
      </c>
      <c r="R90" s="4">
        <v>46265</v>
      </c>
      <c r="S90" s="4">
        <v>46050</v>
      </c>
      <c r="T90" s="5" t="str">
        <f>IF(AND(R90="", S90=""), "대기자", IF(AND(R90&lt;&gt;"", S90=""), "취업 중", IF(AND(R90="", S90&lt;&gt;""), "대기자", IF(R90=S90, "", IF(R90 &lt; S90, "대기자", "취업 중")))))</f>
        <v>취업 중</v>
      </c>
      <c r="U90" s="5" t="str">
        <f>IF(J90=""," ",IF(ISNUMBER(SEARCH("소형",J90)),"소형","대형"))</f>
        <v>대형</v>
      </c>
      <c r="V90" s="4">
        <v>44896</v>
      </c>
      <c r="W90" s="5"/>
      <c r="X90" s="5"/>
      <c r="Y90" s="5"/>
      <c r="Z90" s="13">
        <v>2</v>
      </c>
      <c r="AA90" s="13">
        <v>1</v>
      </c>
      <c r="AB90" s="13">
        <v>1</v>
      </c>
      <c r="AC90" s="13">
        <v>0</v>
      </c>
      <c r="AD90" s="13">
        <v>0</v>
      </c>
      <c r="AE90" s="15"/>
      <c r="AF90" s="15"/>
      <c r="AG90" s="15"/>
      <c r="AH90" s="15"/>
      <c r="AI90" s="6"/>
    </row>
    <row r="91" spans="1:35" ht="19.899999999999999" customHeight="1" x14ac:dyDescent="0.25">
      <c r="A91" s="5">
        <v>88</v>
      </c>
      <c r="B91" s="5" t="s">
        <v>33</v>
      </c>
      <c r="C91" s="5" t="s">
        <v>589</v>
      </c>
      <c r="D91" s="5" t="s">
        <v>144</v>
      </c>
      <c r="E91" s="5">
        <v>19770128</v>
      </c>
      <c r="F91" s="5" t="s">
        <v>36</v>
      </c>
      <c r="G91" s="5" t="s">
        <v>590</v>
      </c>
      <c r="H91" s="5" t="s">
        <v>38</v>
      </c>
      <c r="I91" s="5" t="s">
        <v>591</v>
      </c>
      <c r="J91" s="5" t="s">
        <v>59</v>
      </c>
      <c r="K91" s="5" t="s">
        <v>112</v>
      </c>
      <c r="L91" s="5" t="s">
        <v>592</v>
      </c>
      <c r="M91" s="5" t="s">
        <v>62</v>
      </c>
      <c r="N91" s="5" t="s">
        <v>63</v>
      </c>
      <c r="O91" s="5" t="s">
        <v>38</v>
      </c>
      <c r="P91" s="5" t="s">
        <v>512</v>
      </c>
      <c r="Q91" s="5" t="s">
        <v>593</v>
      </c>
      <c r="R91" s="4">
        <v>46245</v>
      </c>
      <c r="S91" s="4">
        <v>46174</v>
      </c>
      <c r="T91" s="5" t="str">
        <f>IF(AND(R91="", S91=""), "대기자", IF(AND(R91&lt;&gt;"", S91=""), "취업 중", IF(AND(R91="", S91&lt;&gt;""), "대기자", IF(R91=S91, "", IF(R91 &lt; S91, "대기자", "취업 중")))))</f>
        <v>취업 중</v>
      </c>
      <c r="U91" s="5" t="str">
        <f>IF(J91=""," ",IF(ISNUMBER(SEARCH("소형",J91)),"소형","대형"))</f>
        <v>대형</v>
      </c>
      <c r="V91" s="4">
        <v>38473</v>
      </c>
      <c r="W91" s="5"/>
      <c r="X91" s="5"/>
      <c r="Y91" s="5"/>
      <c r="Z91" s="13">
        <v>3</v>
      </c>
      <c r="AA91" s="13">
        <v>2</v>
      </c>
      <c r="AB91" s="13">
        <v>1</v>
      </c>
      <c r="AC91" s="13">
        <v>0</v>
      </c>
      <c r="AD91" s="13">
        <v>0</v>
      </c>
      <c r="AE91" s="14"/>
      <c r="AF91" s="14"/>
      <c r="AG91" s="14"/>
      <c r="AH91" s="14" t="s">
        <v>594</v>
      </c>
      <c r="AI91" s="6"/>
    </row>
    <row r="92" spans="1:35" ht="19.899999999999999" customHeight="1" x14ac:dyDescent="0.25">
      <c r="A92" s="5">
        <v>89</v>
      </c>
      <c r="B92" s="5" t="s">
        <v>33</v>
      </c>
      <c r="C92" s="5" t="s">
        <v>595</v>
      </c>
      <c r="D92" s="5" t="s">
        <v>72</v>
      </c>
      <c r="E92" s="5">
        <v>19670315</v>
      </c>
      <c r="F92" s="5" t="s">
        <v>36</v>
      </c>
      <c r="G92" s="5" t="s">
        <v>596</v>
      </c>
      <c r="H92" s="5" t="s">
        <v>38</v>
      </c>
      <c r="I92" s="5" t="s">
        <v>597</v>
      </c>
      <c r="J92" s="5" t="s">
        <v>598</v>
      </c>
      <c r="K92" s="5" t="s">
        <v>599</v>
      </c>
      <c r="L92" s="5" t="s">
        <v>600</v>
      </c>
      <c r="M92" s="5" t="s">
        <v>601</v>
      </c>
      <c r="N92" s="5" t="s">
        <v>602</v>
      </c>
      <c r="O92" s="5" t="s">
        <v>38</v>
      </c>
      <c r="P92" s="5" t="s">
        <v>64</v>
      </c>
      <c r="Q92" s="5" t="s">
        <v>603</v>
      </c>
      <c r="R92" s="4">
        <v>46101</v>
      </c>
      <c r="S92" s="4">
        <v>45596</v>
      </c>
      <c r="T92" s="5" t="str">
        <f>IF(AND(R92="", S92=""), "대기자", IF(AND(R92&lt;&gt;"", S92=""), "취업 중", IF(AND(R92="", S92&lt;&gt;""), "대기자", IF(R92=S92, "", IF(R92 &lt; S92, "대기자", "취업 중")))))</f>
        <v>취업 중</v>
      </c>
      <c r="U92" s="5" t="str">
        <f>IF(J92=""," ",IF(ISNUMBER(SEARCH("소형",J92)),"소형","대형"))</f>
        <v>대형</v>
      </c>
      <c r="V92" s="4">
        <v>42506</v>
      </c>
      <c r="W92" s="5"/>
      <c r="X92" s="5"/>
      <c r="Y92" s="5"/>
      <c r="Z92" s="13"/>
      <c r="AA92" s="13"/>
      <c r="AB92" s="13"/>
      <c r="AC92" s="13"/>
      <c r="AD92" s="13"/>
      <c r="AE92" s="15"/>
      <c r="AF92" s="15"/>
      <c r="AG92" s="15"/>
      <c r="AH92" s="15"/>
      <c r="AI92" s="6"/>
    </row>
    <row r="93" spans="1:35" ht="19.899999999999999" customHeight="1" x14ac:dyDescent="0.25">
      <c r="A93" s="5">
        <v>90</v>
      </c>
      <c r="B93" s="5" t="s">
        <v>33</v>
      </c>
      <c r="C93" s="5" t="s">
        <v>604</v>
      </c>
      <c r="D93" s="5" t="s">
        <v>72</v>
      </c>
      <c r="E93" s="5">
        <v>19701025</v>
      </c>
      <c r="F93" s="5" t="s">
        <v>36</v>
      </c>
      <c r="G93" s="5" t="s">
        <v>605</v>
      </c>
      <c r="H93" s="5" t="s">
        <v>38</v>
      </c>
      <c r="I93" s="5" t="s">
        <v>606</v>
      </c>
      <c r="J93" s="5"/>
      <c r="K93" s="5"/>
      <c r="L93" s="5"/>
      <c r="M93" s="5"/>
      <c r="N93" s="5"/>
      <c r="O93" s="5"/>
      <c r="P93" s="5"/>
      <c r="Q93" s="5"/>
      <c r="R93" s="4">
        <v>45741</v>
      </c>
      <c r="S93" s="4">
        <v>46281</v>
      </c>
      <c r="T93" s="5" t="str">
        <f>IF(AND(R93="", S93=""), "대기자", IF(AND(R93&lt;&gt;"", S93=""), "취업 중", IF(AND(R93="", S93&lt;&gt;""), "대기자", IF(R93=S93, "", IF(R93 &lt; S93, "대기자", "취업 중")))))</f>
        <v>대기자</v>
      </c>
      <c r="U93" s="5" t="str">
        <f>IF(J93=""," ",IF(ISNUMBER(SEARCH("소형",J93)),"소형","대형"))</f>
        <v xml:space="preserve"> </v>
      </c>
      <c r="V93" s="4">
        <v>38411</v>
      </c>
      <c r="W93" s="5"/>
      <c r="X93" s="5"/>
      <c r="Y93" s="5"/>
      <c r="Z93" s="13" t="s">
        <v>118</v>
      </c>
      <c r="AA93" s="13" t="s">
        <v>49</v>
      </c>
      <c r="AB93" s="13" t="s">
        <v>70</v>
      </c>
      <c r="AC93" s="13" t="s">
        <v>48</v>
      </c>
      <c r="AD93" s="13" t="s">
        <v>48</v>
      </c>
      <c r="AE93" s="14"/>
      <c r="AF93" s="14"/>
      <c r="AG93" s="14"/>
      <c r="AH93" s="14" t="s">
        <v>607</v>
      </c>
      <c r="AI93" s="6"/>
    </row>
    <row r="94" spans="1:35" ht="19.899999999999999" customHeight="1" x14ac:dyDescent="0.25">
      <c r="A94" s="5">
        <v>91</v>
      </c>
      <c r="B94" s="5" t="s">
        <v>33</v>
      </c>
      <c r="C94" s="5" t="s">
        <v>608</v>
      </c>
      <c r="D94" s="5" t="s">
        <v>67</v>
      </c>
      <c r="E94" s="5">
        <v>19751101</v>
      </c>
      <c r="F94" s="5" t="s">
        <v>36</v>
      </c>
      <c r="G94" s="5" t="s">
        <v>609</v>
      </c>
      <c r="H94" s="5" t="s">
        <v>38</v>
      </c>
      <c r="I94" s="5" t="s">
        <v>210</v>
      </c>
      <c r="J94" s="5" t="s">
        <v>494</v>
      </c>
      <c r="K94" s="5" t="s">
        <v>353</v>
      </c>
      <c r="L94" s="5" t="s">
        <v>610</v>
      </c>
      <c r="M94" s="5" t="s">
        <v>611</v>
      </c>
      <c r="N94" s="5" t="s">
        <v>612</v>
      </c>
      <c r="O94" s="5" t="s">
        <v>38</v>
      </c>
      <c r="P94" s="5" t="s">
        <v>215</v>
      </c>
      <c r="Q94" s="5" t="s">
        <v>613</v>
      </c>
      <c r="R94" s="4">
        <v>45847</v>
      </c>
      <c r="S94" s="4">
        <v>45537</v>
      </c>
      <c r="T94" s="5" t="str">
        <f>IF(AND(R94="", S94=""), "대기자", IF(AND(R94&lt;&gt;"", S94=""), "취업 중", IF(AND(R94="", S94&lt;&gt;""), "대기자", IF(R94=S94, "", IF(R94 &lt; S94, "대기자", "취업 중")))))</f>
        <v>취업 중</v>
      </c>
      <c r="U94" s="5" t="str">
        <f>IF(J94=""," ",IF(ISNUMBER(SEARCH("소형",J94)),"소형","대형"))</f>
        <v>대형</v>
      </c>
      <c r="V94" s="4">
        <v>41365</v>
      </c>
      <c r="W94" s="5"/>
      <c r="X94" s="5"/>
      <c r="Y94" s="5"/>
      <c r="Z94" s="13"/>
      <c r="AA94" s="13"/>
      <c r="AB94" s="13"/>
      <c r="AC94" s="13"/>
      <c r="AD94" s="13"/>
      <c r="AE94" s="15"/>
      <c r="AF94" s="15"/>
      <c r="AG94" s="15" t="s">
        <v>523</v>
      </c>
      <c r="AH94" s="15" t="s">
        <v>614</v>
      </c>
      <c r="AI94" s="6"/>
    </row>
    <row r="95" spans="1:35" ht="19.899999999999999" customHeight="1" x14ac:dyDescent="0.25">
      <c r="A95" s="5">
        <v>92</v>
      </c>
      <c r="B95" s="5" t="s">
        <v>33</v>
      </c>
      <c r="C95" s="5" t="s">
        <v>615</v>
      </c>
      <c r="D95" s="5" t="s">
        <v>99</v>
      </c>
      <c r="E95" s="5">
        <v>19740224</v>
      </c>
      <c r="F95" s="5" t="s">
        <v>36</v>
      </c>
      <c r="G95" s="5" t="s">
        <v>616</v>
      </c>
      <c r="H95" s="5" t="s">
        <v>38</v>
      </c>
      <c r="I95" s="5" t="s">
        <v>617</v>
      </c>
      <c r="J95" s="5" t="s">
        <v>59</v>
      </c>
      <c r="K95" s="5" t="s">
        <v>60</v>
      </c>
      <c r="L95" s="5" t="s">
        <v>550</v>
      </c>
      <c r="M95" s="5" t="s">
        <v>62</v>
      </c>
      <c r="N95" s="5" t="s">
        <v>63</v>
      </c>
      <c r="O95" s="5" t="s">
        <v>38</v>
      </c>
      <c r="P95" s="5" t="s">
        <v>64</v>
      </c>
      <c r="Q95" s="5" t="s">
        <v>172</v>
      </c>
      <c r="R95" s="4">
        <v>45950</v>
      </c>
      <c r="S95" s="4">
        <v>45507</v>
      </c>
      <c r="T95" s="5" t="str">
        <f>IF(AND(R95="", S95=""), "대기자", IF(AND(R95&lt;&gt;"", S95=""), "취업 중", IF(AND(R95="", S95&lt;&gt;""), "대기자", IF(R95=S95, "", IF(R95 &lt; S95, "대기자", "취업 중")))))</f>
        <v>취업 중</v>
      </c>
      <c r="U95" s="5" t="str">
        <f>IF(J95=""," ",IF(ISNUMBER(SEARCH("소형",J95)),"소형","대형"))</f>
        <v>대형</v>
      </c>
      <c r="V95" s="4">
        <v>42455</v>
      </c>
      <c r="W95" s="5"/>
      <c r="X95" s="5"/>
      <c r="Y95" s="5"/>
      <c r="Z95" s="13" t="s">
        <v>123</v>
      </c>
      <c r="AA95" s="13" t="s">
        <v>49</v>
      </c>
      <c r="AB95" s="13" t="s">
        <v>47</v>
      </c>
      <c r="AC95" s="13" t="s">
        <v>48</v>
      </c>
      <c r="AD95" s="13" t="s">
        <v>48</v>
      </c>
      <c r="AE95" s="14"/>
      <c r="AF95" s="14"/>
      <c r="AG95" s="14" t="s">
        <v>184</v>
      </c>
      <c r="AH95" s="14" t="s">
        <v>618</v>
      </c>
      <c r="AI95" s="6"/>
    </row>
    <row r="96" spans="1:35" ht="19.899999999999999" customHeight="1" x14ac:dyDescent="0.25">
      <c r="A96" s="5">
        <v>93</v>
      </c>
      <c r="B96" s="5" t="s">
        <v>33</v>
      </c>
      <c r="C96" s="5" t="s">
        <v>619</v>
      </c>
      <c r="D96" s="5" t="s">
        <v>526</v>
      </c>
      <c r="E96" s="5">
        <v>19780905</v>
      </c>
      <c r="F96" s="5" t="s">
        <v>36</v>
      </c>
      <c r="G96" s="5" t="s">
        <v>620</v>
      </c>
      <c r="H96" s="5" t="s">
        <v>38</v>
      </c>
      <c r="I96" s="5" t="s">
        <v>621</v>
      </c>
      <c r="J96" s="5"/>
      <c r="K96" s="5"/>
      <c r="L96" s="5"/>
      <c r="M96" s="5"/>
      <c r="N96" s="5"/>
      <c r="O96" s="5"/>
      <c r="P96" s="5"/>
      <c r="Q96" s="5"/>
      <c r="R96" s="4">
        <v>46034</v>
      </c>
      <c r="S96" s="4">
        <v>46260</v>
      </c>
      <c r="T96" s="5" t="str">
        <f>IF(AND(R96="", S96=""), "대기자", IF(AND(R96&lt;&gt;"", S96=""), "취업 중", IF(AND(R96="", S96&lt;&gt;""), "대기자", IF(R96=S96, "", IF(R96 &lt; S96, "대기자", "취업 중")))))</f>
        <v>대기자</v>
      </c>
      <c r="U96" s="5" t="str">
        <f>IF(J96=""," ",IF(ISNUMBER(SEARCH("소형",J96)),"소형","대형"))</f>
        <v xml:space="preserve"> </v>
      </c>
      <c r="V96" s="4">
        <v>40058</v>
      </c>
      <c r="W96" s="5"/>
      <c r="X96" s="5"/>
      <c r="Y96" s="5"/>
      <c r="Z96" s="13">
        <v>14</v>
      </c>
      <c r="AA96" s="13">
        <v>5</v>
      </c>
      <c r="AB96" s="13">
        <v>6</v>
      </c>
      <c r="AC96" s="13">
        <v>0</v>
      </c>
      <c r="AD96" s="13">
        <v>3</v>
      </c>
      <c r="AE96" s="15"/>
      <c r="AF96" s="15"/>
      <c r="AG96" s="15" t="s">
        <v>83</v>
      </c>
      <c r="AH96" s="15" t="s">
        <v>622</v>
      </c>
      <c r="AI96" s="6"/>
    </row>
    <row r="97" spans="1:35" ht="19.899999999999999" customHeight="1" x14ac:dyDescent="0.25">
      <c r="A97" s="5">
        <v>94</v>
      </c>
      <c r="B97" s="5" t="s">
        <v>33</v>
      </c>
      <c r="C97" s="5" t="s">
        <v>623</v>
      </c>
      <c r="D97" s="5" t="s">
        <v>35</v>
      </c>
      <c r="E97" s="5">
        <v>19700526</v>
      </c>
      <c r="F97" s="5" t="s">
        <v>36</v>
      </c>
      <c r="G97" s="5" t="s">
        <v>624</v>
      </c>
      <c r="H97" s="5" t="s">
        <v>38</v>
      </c>
      <c r="I97" s="5" t="s">
        <v>625</v>
      </c>
      <c r="J97" s="5"/>
      <c r="K97" s="5"/>
      <c r="L97" s="5"/>
      <c r="M97" s="5"/>
      <c r="N97" s="5"/>
      <c r="O97" s="5"/>
      <c r="P97" s="5"/>
      <c r="Q97" s="5"/>
      <c r="R97" s="4">
        <v>45464</v>
      </c>
      <c r="S97" s="4">
        <v>45804</v>
      </c>
      <c r="T97" s="5" t="str">
        <f>IF(AND(R97="", S97=""), "대기자", IF(AND(R97&lt;&gt;"", S97=""), "취업 중", IF(AND(R97="", S97&lt;&gt;""), "대기자", IF(R97=S97, "", IF(R97 &lt; S97, "대기자", "취업 중")))))</f>
        <v>대기자</v>
      </c>
      <c r="U97" s="5" t="str">
        <f>IF(J97=""," ",IF(ISNUMBER(SEARCH("소형",J97)),"소형","대형"))</f>
        <v xml:space="preserve"> </v>
      </c>
      <c r="V97" s="4">
        <v>42642</v>
      </c>
      <c r="W97" s="5"/>
      <c r="X97" s="5"/>
      <c r="Y97" s="5"/>
      <c r="Z97" s="13"/>
      <c r="AA97" s="13"/>
      <c r="AB97" s="13"/>
      <c r="AC97" s="13"/>
      <c r="AD97" s="13"/>
      <c r="AE97" s="14"/>
      <c r="AF97" s="14"/>
      <c r="AG97" s="14"/>
      <c r="AH97" s="14" t="s">
        <v>626</v>
      </c>
      <c r="AI97" s="6"/>
    </row>
    <row r="98" spans="1:35" ht="19.899999999999999" customHeight="1" x14ac:dyDescent="0.25">
      <c r="A98" s="5">
        <v>95</v>
      </c>
      <c r="B98" s="5" t="s">
        <v>33</v>
      </c>
      <c r="C98" s="5" t="s">
        <v>627</v>
      </c>
      <c r="D98" s="5" t="s">
        <v>144</v>
      </c>
      <c r="E98" s="5">
        <v>19610601</v>
      </c>
      <c r="F98" s="5" t="s">
        <v>36</v>
      </c>
      <c r="G98" s="5" t="s">
        <v>628</v>
      </c>
      <c r="H98" s="5" t="s">
        <v>38</v>
      </c>
      <c r="I98" s="5" t="s">
        <v>629</v>
      </c>
      <c r="J98" s="5" t="s">
        <v>630</v>
      </c>
      <c r="K98" s="5" t="s">
        <v>631</v>
      </c>
      <c r="L98" s="5" t="s">
        <v>632</v>
      </c>
      <c r="M98" s="5" t="s">
        <v>633</v>
      </c>
      <c r="N98" s="5" t="s">
        <v>634</v>
      </c>
      <c r="O98" s="5" t="s">
        <v>38</v>
      </c>
      <c r="P98" s="5" t="s">
        <v>635</v>
      </c>
      <c r="Q98" s="5" t="s">
        <v>636</v>
      </c>
      <c r="R98" s="4">
        <v>46024</v>
      </c>
      <c r="S98" s="4">
        <v>45679</v>
      </c>
      <c r="T98" s="5" t="str">
        <f>IF(AND(R98="", S98=""), "대기자", IF(AND(R98&lt;&gt;"", S98=""), "취업 중", IF(AND(R98="", S98&lt;&gt;""), "대기자", IF(R98=S98, "", IF(R98 &lt; S98, "대기자", "취업 중")))))</f>
        <v>취업 중</v>
      </c>
      <c r="U98" s="5" t="str">
        <f>IF(J98=""," ",IF(ISNUMBER(SEARCH("소형",J98)),"소형","대형"))</f>
        <v>대형</v>
      </c>
      <c r="V98" s="4">
        <v>41000</v>
      </c>
      <c r="W98" s="5"/>
      <c r="X98" s="5"/>
      <c r="Y98" s="5"/>
      <c r="Z98" s="13"/>
      <c r="AA98" s="13"/>
      <c r="AB98" s="13"/>
      <c r="AC98" s="13"/>
      <c r="AD98" s="13"/>
      <c r="AE98" s="15"/>
      <c r="AF98" s="15"/>
      <c r="AG98" s="15"/>
      <c r="AH98" s="15"/>
      <c r="AI98" s="6"/>
    </row>
    <row r="99" spans="1:35" ht="19.899999999999999" customHeight="1" x14ac:dyDescent="0.25">
      <c r="A99" s="5">
        <v>96</v>
      </c>
      <c r="B99" s="5" t="s">
        <v>33</v>
      </c>
      <c r="C99" s="5" t="s">
        <v>637</v>
      </c>
      <c r="D99" s="5" t="s">
        <v>56</v>
      </c>
      <c r="E99" s="5">
        <v>19730609</v>
      </c>
      <c r="F99" s="5" t="s">
        <v>36</v>
      </c>
      <c r="G99" s="5" t="s">
        <v>638</v>
      </c>
      <c r="H99" s="5" t="s">
        <v>278</v>
      </c>
      <c r="I99" s="5" t="s">
        <v>639</v>
      </c>
      <c r="J99" s="5" t="s">
        <v>102</v>
      </c>
      <c r="K99" s="5" t="s">
        <v>102</v>
      </c>
      <c r="L99" s="5" t="s">
        <v>640</v>
      </c>
      <c r="M99" s="5" t="s">
        <v>641</v>
      </c>
      <c r="N99" s="5" t="s">
        <v>642</v>
      </c>
      <c r="O99" s="5" t="s">
        <v>38</v>
      </c>
      <c r="P99" s="5" t="s">
        <v>152</v>
      </c>
      <c r="Q99" s="5" t="s">
        <v>643</v>
      </c>
      <c r="R99" s="4">
        <v>46168</v>
      </c>
      <c r="S99" s="4">
        <v>45643</v>
      </c>
      <c r="T99" s="5" t="str">
        <f>IF(AND(R99="", S99=""), "대기자", IF(AND(R99&lt;&gt;"", S99=""), "취업 중", IF(AND(R99="", S99&lt;&gt;""), "대기자", IF(R99=S99, "", IF(R99 &lt; S99, "대기자", "취업 중")))))</f>
        <v>취업 중</v>
      </c>
      <c r="U99" s="5" t="str">
        <f>IF(J99=""," ",IF(ISNUMBER(SEARCH("소형",J99)),"소형","대형"))</f>
        <v>소형</v>
      </c>
      <c r="V99" s="4">
        <v>42916</v>
      </c>
      <c r="W99" s="5"/>
      <c r="X99" s="5"/>
      <c r="Y99" s="5" t="s">
        <v>644</v>
      </c>
      <c r="Z99" s="13" t="s">
        <v>47</v>
      </c>
      <c r="AA99" s="13" t="s">
        <v>48</v>
      </c>
      <c r="AB99" s="13" t="s">
        <v>49</v>
      </c>
      <c r="AC99" s="13" t="s">
        <v>48</v>
      </c>
      <c r="AD99" s="13" t="s">
        <v>50</v>
      </c>
      <c r="AE99" s="14"/>
      <c r="AF99" s="14"/>
      <c r="AG99" s="14" t="s">
        <v>83</v>
      </c>
      <c r="AH99" s="14" t="s">
        <v>645</v>
      </c>
      <c r="AI99" s="6"/>
    </row>
    <row r="100" spans="1:35" ht="19.899999999999999" customHeight="1" x14ac:dyDescent="0.25">
      <c r="A100" s="5">
        <v>97</v>
      </c>
      <c r="B100" s="5" t="s">
        <v>33</v>
      </c>
      <c r="C100" s="5" t="s">
        <v>646</v>
      </c>
      <c r="D100" s="5" t="s">
        <v>67</v>
      </c>
      <c r="E100" s="5">
        <v>19640310</v>
      </c>
      <c r="F100" s="5" t="s">
        <v>36</v>
      </c>
      <c r="G100" s="5" t="s">
        <v>647</v>
      </c>
      <c r="H100" s="5" t="s">
        <v>38</v>
      </c>
      <c r="I100" s="5" t="s">
        <v>648</v>
      </c>
      <c r="J100" s="5" t="s">
        <v>649</v>
      </c>
      <c r="K100" s="5" t="s">
        <v>650</v>
      </c>
      <c r="L100" s="5" t="s">
        <v>651</v>
      </c>
      <c r="M100" s="5" t="s">
        <v>652</v>
      </c>
      <c r="N100" s="5" t="s">
        <v>653</v>
      </c>
      <c r="O100" s="5" t="s">
        <v>38</v>
      </c>
      <c r="P100" s="5" t="s">
        <v>215</v>
      </c>
      <c r="Q100" s="5" t="s">
        <v>654</v>
      </c>
      <c r="R100" s="4">
        <v>46248</v>
      </c>
      <c r="S100" s="4">
        <v>45738</v>
      </c>
      <c r="T100" s="5" t="str">
        <f>IF(AND(R100="", S100=""), "대기자", IF(AND(R100&lt;&gt;"", S100=""), "취업 중", IF(AND(R100="", S100&lt;&gt;""), "대기자", IF(R100=S100, "", IF(R100 &lt; S100, "대기자", "취업 중")))))</f>
        <v>취업 중</v>
      </c>
      <c r="U100" s="5" t="str">
        <f>IF(J100=""," ",IF(ISNUMBER(SEARCH("소형",J100)),"소형","대형"))</f>
        <v>대형</v>
      </c>
      <c r="V100" s="4">
        <v>42583</v>
      </c>
      <c r="W100" s="5"/>
      <c r="X100" s="5"/>
      <c r="Y100" s="5"/>
      <c r="Z100" s="13"/>
      <c r="AA100" s="13"/>
      <c r="AB100" s="13"/>
      <c r="AC100" s="13"/>
      <c r="AD100" s="13"/>
      <c r="AE100" s="15"/>
      <c r="AF100" s="15"/>
      <c r="AG100" s="15"/>
      <c r="AH100" s="15"/>
      <c r="AI100" s="6"/>
    </row>
    <row r="101" spans="1:35" ht="19.899999999999999" customHeight="1" x14ac:dyDescent="0.25">
      <c r="A101" s="5">
        <v>98</v>
      </c>
      <c r="B101" s="5" t="s">
        <v>33</v>
      </c>
      <c r="C101" s="5" t="s">
        <v>655</v>
      </c>
      <c r="D101" s="5" t="s">
        <v>144</v>
      </c>
      <c r="E101" s="5">
        <v>19810830</v>
      </c>
      <c r="F101" s="5" t="s">
        <v>36</v>
      </c>
      <c r="G101" s="5" t="s">
        <v>656</v>
      </c>
      <c r="H101" s="5" t="s">
        <v>38</v>
      </c>
      <c r="I101" s="5" t="s">
        <v>657</v>
      </c>
      <c r="J101" s="5" t="s">
        <v>102</v>
      </c>
      <c r="K101" s="5" t="s">
        <v>102</v>
      </c>
      <c r="L101" s="5" t="s">
        <v>658</v>
      </c>
      <c r="M101" s="5" t="s">
        <v>659</v>
      </c>
      <c r="N101" s="5" t="s">
        <v>659</v>
      </c>
      <c r="O101" s="5" t="s">
        <v>38</v>
      </c>
      <c r="P101" s="5" t="s">
        <v>132</v>
      </c>
      <c r="Q101" s="5" t="s">
        <v>660</v>
      </c>
      <c r="R101" s="4">
        <v>45931</v>
      </c>
      <c r="S101" s="4">
        <v>45779</v>
      </c>
      <c r="T101" s="5" t="str">
        <f>IF(AND(R101="", S101=""), "대기자", IF(AND(R101&lt;&gt;"", S101=""), "취업 중", IF(AND(R101="", S101&lt;&gt;""), "대기자", IF(R101=S101, "", IF(R101 &lt; S101, "대기자", "취업 중")))))</f>
        <v>취업 중</v>
      </c>
      <c r="U101" s="5" t="str">
        <f>IF(J101=""," ",IF(ISNUMBER(SEARCH("소형",J101)),"소형","대형"))</f>
        <v>소형</v>
      </c>
      <c r="V101" s="4">
        <v>45627</v>
      </c>
      <c r="W101" s="5"/>
      <c r="X101" s="5" t="s">
        <v>661</v>
      </c>
      <c r="Y101" s="5" t="s">
        <v>662</v>
      </c>
      <c r="Z101" s="13">
        <v>3</v>
      </c>
      <c r="AA101" s="13">
        <v>1</v>
      </c>
      <c r="AB101" s="13">
        <v>1</v>
      </c>
      <c r="AC101" s="13">
        <v>0</v>
      </c>
      <c r="AD101" s="13">
        <v>1</v>
      </c>
      <c r="AE101" s="14"/>
      <c r="AF101" s="14"/>
      <c r="AG101" s="14"/>
      <c r="AH101" s="14"/>
      <c r="AI101" s="6"/>
    </row>
    <row r="102" spans="1:35" ht="19.899999999999999" customHeight="1" x14ac:dyDescent="0.25">
      <c r="A102" s="5">
        <v>99</v>
      </c>
      <c r="B102" s="5" t="s">
        <v>33</v>
      </c>
      <c r="C102" s="5" t="s">
        <v>663</v>
      </c>
      <c r="D102" s="5" t="s">
        <v>526</v>
      </c>
      <c r="E102" s="5">
        <v>19770120</v>
      </c>
      <c r="F102" s="5" t="s">
        <v>36</v>
      </c>
      <c r="G102" s="5" t="s">
        <v>664</v>
      </c>
      <c r="H102" s="5" t="s">
        <v>38</v>
      </c>
      <c r="I102" s="5" t="s">
        <v>665</v>
      </c>
      <c r="J102" s="5" t="s">
        <v>198</v>
      </c>
      <c r="K102" s="5" t="s">
        <v>148</v>
      </c>
      <c r="L102" s="5" t="s">
        <v>666</v>
      </c>
      <c r="M102" s="5" t="s">
        <v>667</v>
      </c>
      <c r="N102" s="5" t="s">
        <v>668</v>
      </c>
      <c r="O102" s="5" t="s">
        <v>38</v>
      </c>
      <c r="P102" s="5" t="s">
        <v>402</v>
      </c>
      <c r="Q102" s="5" t="s">
        <v>669</v>
      </c>
      <c r="R102" s="4">
        <v>45740</v>
      </c>
      <c r="S102" s="4">
        <v>45497</v>
      </c>
      <c r="T102" s="5" t="str">
        <f>IF(AND(R102="", S102=""), "대기자", IF(AND(R102&lt;&gt;"", S102=""), "취업 중", IF(AND(R102="", S102&lt;&gt;""), "대기자", IF(R102=S102, "", IF(R102 &lt; S102, "대기자", "취업 중")))))</f>
        <v>취업 중</v>
      </c>
      <c r="U102" s="5" t="str">
        <f>IF(J102=""," ",IF(ISNUMBER(SEARCH("소형",J102)),"소형","대형"))</f>
        <v>대형</v>
      </c>
      <c r="V102" s="4">
        <v>42125</v>
      </c>
      <c r="W102" s="5"/>
      <c r="X102" s="5"/>
      <c r="Y102" s="5"/>
      <c r="Z102" s="13"/>
      <c r="AA102" s="13"/>
      <c r="AB102" s="13"/>
      <c r="AC102" s="13"/>
      <c r="AD102" s="13"/>
      <c r="AE102" s="15"/>
      <c r="AF102" s="15"/>
      <c r="AG102" s="15"/>
      <c r="AH102" s="15"/>
      <c r="AI102" s="6"/>
    </row>
    <row r="103" spans="1:35" ht="19.899999999999999" customHeight="1" x14ac:dyDescent="0.25">
      <c r="A103" s="5">
        <v>100</v>
      </c>
      <c r="B103" s="5" t="s">
        <v>33</v>
      </c>
      <c r="C103" s="5" t="s">
        <v>670</v>
      </c>
      <c r="D103" s="5" t="s">
        <v>67</v>
      </c>
      <c r="E103" s="5">
        <v>19750211</v>
      </c>
      <c r="F103" s="5" t="s">
        <v>36</v>
      </c>
      <c r="G103" s="5" t="s">
        <v>671</v>
      </c>
      <c r="H103" s="5" t="s">
        <v>38</v>
      </c>
      <c r="I103" s="5" t="s">
        <v>672</v>
      </c>
      <c r="J103" s="5"/>
      <c r="K103" s="5"/>
      <c r="L103" s="5"/>
      <c r="M103" s="5"/>
      <c r="N103" s="5"/>
      <c r="O103" s="5"/>
      <c r="P103" s="5"/>
      <c r="Q103" s="5"/>
      <c r="R103" s="4"/>
      <c r="S103" s="4">
        <v>46123</v>
      </c>
      <c r="T103" s="5" t="str">
        <f>IF(AND(R103="", S103=""), "대기자", IF(AND(R103&lt;&gt;"", S103=""), "취업 중", IF(AND(R103="", S103&lt;&gt;""), "대기자", IF(R103=S103, "", IF(R103 &lt; S103, "대기자", "취업 중")))))</f>
        <v>대기자</v>
      </c>
      <c r="U103" s="5" t="str">
        <f>IF(J103=""," ",IF(ISNUMBER(SEARCH("소형",J103)),"소형","대형"))</f>
        <v xml:space="preserve"> </v>
      </c>
      <c r="V103" s="4">
        <v>42541</v>
      </c>
      <c r="W103" s="5"/>
      <c r="X103" s="5"/>
      <c r="Y103" s="5"/>
      <c r="Z103" s="13" t="s">
        <v>118</v>
      </c>
      <c r="AA103" s="13" t="s">
        <v>70</v>
      </c>
      <c r="AB103" s="13" t="s">
        <v>70</v>
      </c>
      <c r="AC103" s="13" t="s">
        <v>50</v>
      </c>
      <c r="AD103" s="13" t="s">
        <v>48</v>
      </c>
      <c r="AE103" s="14"/>
      <c r="AF103" s="14"/>
      <c r="AG103" s="14" t="s">
        <v>274</v>
      </c>
      <c r="AH103" s="14" t="s">
        <v>673</v>
      </c>
      <c r="AI103" s="6"/>
    </row>
    <row r="104" spans="1:35" ht="19.899999999999999" customHeight="1" x14ac:dyDescent="0.25">
      <c r="A104" s="5">
        <v>101</v>
      </c>
      <c r="B104" s="5" t="s">
        <v>33</v>
      </c>
      <c r="C104" s="5" t="s">
        <v>674</v>
      </c>
      <c r="D104" s="5" t="s">
        <v>56</v>
      </c>
      <c r="E104" s="5">
        <v>19810806</v>
      </c>
      <c r="F104" s="5" t="s">
        <v>36</v>
      </c>
      <c r="G104" s="5" t="s">
        <v>675</v>
      </c>
      <c r="H104" s="5" t="s">
        <v>38</v>
      </c>
      <c r="I104" s="5" t="s">
        <v>676</v>
      </c>
      <c r="J104" s="5" t="s">
        <v>494</v>
      </c>
      <c r="K104" s="5" t="s">
        <v>677</v>
      </c>
      <c r="L104" s="5" t="s">
        <v>678</v>
      </c>
      <c r="M104" s="5" t="s">
        <v>679</v>
      </c>
      <c r="N104" s="5" t="s">
        <v>680</v>
      </c>
      <c r="O104" s="5" t="s">
        <v>38</v>
      </c>
      <c r="P104" s="5" t="s">
        <v>92</v>
      </c>
      <c r="Q104" s="5" t="s">
        <v>681</v>
      </c>
      <c r="R104" s="4">
        <v>46274</v>
      </c>
      <c r="S104" s="4">
        <v>46193</v>
      </c>
      <c r="T104" s="5" t="str">
        <f>IF(AND(R104="", S104=""), "대기자", IF(AND(R104&lt;&gt;"", S104=""), "취업 중", IF(AND(R104="", S104&lt;&gt;""), "대기자", IF(R104=S104, "", IF(R104 &lt; S104, "대기자", "취업 중")))))</f>
        <v>취업 중</v>
      </c>
      <c r="U104" s="5" t="str">
        <f>IF(J104=""," ",IF(ISNUMBER(SEARCH("소형",J104)),"소형","대형"))</f>
        <v>대형</v>
      </c>
      <c r="V104" s="4">
        <v>42541</v>
      </c>
      <c r="W104" s="5"/>
      <c r="X104" s="5"/>
      <c r="Y104" s="5"/>
      <c r="Z104" s="13"/>
      <c r="AA104" s="13"/>
      <c r="AB104" s="13"/>
      <c r="AC104" s="13"/>
      <c r="AD104" s="13"/>
      <c r="AE104" s="15"/>
      <c r="AF104" s="15"/>
      <c r="AG104" s="15"/>
      <c r="AH104" s="15"/>
      <c r="AI104" s="6"/>
    </row>
    <row r="105" spans="1:35" ht="19.899999999999999" customHeight="1" x14ac:dyDescent="0.25">
      <c r="A105" s="5">
        <v>102</v>
      </c>
      <c r="B105" s="5" t="s">
        <v>33</v>
      </c>
      <c r="C105" s="5" t="s">
        <v>682</v>
      </c>
      <c r="D105" s="5" t="s">
        <v>56</v>
      </c>
      <c r="E105" s="5">
        <v>19830222</v>
      </c>
      <c r="F105" s="5" t="s">
        <v>36</v>
      </c>
      <c r="G105" s="5" t="s">
        <v>683</v>
      </c>
      <c r="H105" s="5" t="s">
        <v>684</v>
      </c>
      <c r="I105" s="5" t="s">
        <v>685</v>
      </c>
      <c r="J105" s="5"/>
      <c r="K105" s="5"/>
      <c r="L105" s="5"/>
      <c r="M105" s="5"/>
      <c r="N105" s="5"/>
      <c r="O105" s="5"/>
      <c r="P105" s="5"/>
      <c r="Q105" s="5"/>
      <c r="R105" s="4">
        <v>45629</v>
      </c>
      <c r="S105" s="4">
        <v>45932</v>
      </c>
      <c r="T105" s="5" t="str">
        <f>IF(AND(R105="", S105=""), "대기자", IF(AND(R105&lt;&gt;"", S105=""), "취업 중", IF(AND(R105="", S105&lt;&gt;""), "대기자", IF(R105=S105, "", IF(R105 &lt; S105, "대기자", "취업 중")))))</f>
        <v>대기자</v>
      </c>
      <c r="U105" s="5" t="str">
        <f>IF(J105=""," ",IF(ISNUMBER(SEARCH("소형",J105)),"소형","대형"))</f>
        <v xml:space="preserve"> </v>
      </c>
      <c r="V105" s="4">
        <v>43160</v>
      </c>
      <c r="W105" s="5"/>
      <c r="X105" s="5"/>
      <c r="Y105" s="5"/>
      <c r="Z105" s="16">
        <v>4</v>
      </c>
      <c r="AA105" s="16">
        <v>1</v>
      </c>
      <c r="AB105" s="16">
        <v>1</v>
      </c>
      <c r="AC105" s="16">
        <v>0</v>
      </c>
      <c r="AD105" s="16">
        <v>0</v>
      </c>
      <c r="AE105" s="14">
        <v>2</v>
      </c>
      <c r="AF105" s="14"/>
      <c r="AG105" s="14" t="s">
        <v>155</v>
      </c>
      <c r="AH105" s="14" t="s">
        <v>686</v>
      </c>
      <c r="AI105" s="15">
        <v>2</v>
      </c>
    </row>
    <row r="106" spans="1:35" ht="19.899999999999999" customHeight="1" x14ac:dyDescent="0.25">
      <c r="A106" s="5">
        <v>103</v>
      </c>
      <c r="B106" s="5" t="s">
        <v>33</v>
      </c>
      <c r="C106" s="5" t="s">
        <v>687</v>
      </c>
      <c r="D106" s="5" t="s">
        <v>285</v>
      </c>
      <c r="E106" s="5">
        <v>19680515</v>
      </c>
      <c r="F106" s="5" t="s">
        <v>36</v>
      </c>
      <c r="G106" s="5" t="s">
        <v>688</v>
      </c>
      <c r="H106" s="5" t="s">
        <v>38</v>
      </c>
      <c r="I106" s="5" t="s">
        <v>689</v>
      </c>
      <c r="J106" s="5" t="s">
        <v>59</v>
      </c>
      <c r="K106" s="5" t="s">
        <v>112</v>
      </c>
      <c r="L106" s="5" t="s">
        <v>690</v>
      </c>
      <c r="M106" s="5" t="s">
        <v>62</v>
      </c>
      <c r="N106" s="5" t="s">
        <v>63</v>
      </c>
      <c r="O106" s="5" t="s">
        <v>38</v>
      </c>
      <c r="P106" s="5" t="s">
        <v>64</v>
      </c>
      <c r="Q106" s="5" t="s">
        <v>65</v>
      </c>
      <c r="R106" s="4">
        <v>46209</v>
      </c>
      <c r="S106" s="4">
        <v>46084</v>
      </c>
      <c r="T106" s="5" t="str">
        <f>IF(AND(R106="", S106=""), "대기자", IF(AND(R106&lt;&gt;"", S106=""), "취업 중", IF(AND(R106="", S106&lt;&gt;""), "대기자", IF(R106=S106, "", IF(R106 &lt; S106, "대기자", "취업 중")))))</f>
        <v>취업 중</v>
      </c>
      <c r="U106" s="5" t="str">
        <f>IF(J106=""," ",IF(ISNUMBER(SEARCH("소형",J106)),"소형","대형"))</f>
        <v>대형</v>
      </c>
      <c r="V106" s="4">
        <v>42551</v>
      </c>
      <c r="W106" s="5"/>
      <c r="X106" s="5"/>
      <c r="Y106" s="5"/>
      <c r="Z106" s="13"/>
      <c r="AA106" s="13"/>
      <c r="AB106" s="13"/>
      <c r="AC106" s="13"/>
      <c r="AD106" s="13"/>
      <c r="AE106" s="15"/>
      <c r="AF106" s="15"/>
      <c r="AG106" s="15"/>
      <c r="AH106" s="15"/>
      <c r="AI106" s="6"/>
    </row>
    <row r="107" spans="1:35" ht="19.899999999999999" customHeight="1" x14ac:dyDescent="0.25">
      <c r="A107" s="5">
        <v>104</v>
      </c>
      <c r="B107" s="5" t="s">
        <v>33</v>
      </c>
      <c r="C107" s="5" t="s">
        <v>691</v>
      </c>
      <c r="D107" s="5" t="s">
        <v>285</v>
      </c>
      <c r="E107" s="5">
        <v>19700811</v>
      </c>
      <c r="F107" s="5" t="s">
        <v>36</v>
      </c>
      <c r="G107" s="5" t="s">
        <v>692</v>
      </c>
      <c r="H107" s="5" t="s">
        <v>38</v>
      </c>
      <c r="I107" s="5" t="s">
        <v>693</v>
      </c>
      <c r="J107" s="5" t="s">
        <v>59</v>
      </c>
      <c r="K107" s="5" t="s">
        <v>112</v>
      </c>
      <c r="L107" s="5" t="s">
        <v>694</v>
      </c>
      <c r="M107" s="5" t="s">
        <v>62</v>
      </c>
      <c r="N107" s="5" t="s">
        <v>63</v>
      </c>
      <c r="O107" s="5" t="s">
        <v>38</v>
      </c>
      <c r="P107" s="5" t="s">
        <v>64</v>
      </c>
      <c r="Q107" s="5" t="s">
        <v>65</v>
      </c>
      <c r="R107" s="4">
        <v>46286</v>
      </c>
      <c r="S107" s="4">
        <v>46190</v>
      </c>
      <c r="T107" s="5" t="str">
        <f>IF(AND(R107="", S107=""), "대기자", IF(AND(R107&lt;&gt;"", S107=""), "취업 중", IF(AND(R107="", S107&lt;&gt;""), "대기자", IF(R107=S107, "", IF(R107 &lt; S107, "대기자", "취업 중")))))</f>
        <v>취업 중</v>
      </c>
      <c r="U107" s="5" t="str">
        <f>IF(J107=""," ",IF(ISNUMBER(SEARCH("소형",J107)),"소형","대형"))</f>
        <v>대형</v>
      </c>
      <c r="V107" s="4">
        <v>38869</v>
      </c>
      <c r="W107" s="5"/>
      <c r="X107" s="5"/>
      <c r="Y107" s="5"/>
      <c r="Z107" s="13">
        <v>8</v>
      </c>
      <c r="AA107" s="13">
        <v>3</v>
      </c>
      <c r="AB107" s="13">
        <v>5</v>
      </c>
      <c r="AC107" s="13">
        <v>0</v>
      </c>
      <c r="AD107" s="13">
        <v>0</v>
      </c>
      <c r="AE107" s="14"/>
      <c r="AF107" s="14"/>
      <c r="AG107" s="14"/>
      <c r="AH107" s="14"/>
      <c r="AI107" s="6"/>
    </row>
    <row r="108" spans="1:35" ht="19.899999999999999" customHeight="1" x14ac:dyDescent="0.25">
      <c r="A108" s="5">
        <v>105</v>
      </c>
      <c r="B108" s="5" t="s">
        <v>33</v>
      </c>
      <c r="C108" s="5" t="s">
        <v>695</v>
      </c>
      <c r="D108" s="5" t="s">
        <v>179</v>
      </c>
      <c r="E108" s="5">
        <v>19611014</v>
      </c>
      <c r="F108" s="5" t="s">
        <v>36</v>
      </c>
      <c r="G108" s="5" t="s">
        <v>696</v>
      </c>
      <c r="H108" s="5" t="s">
        <v>38</v>
      </c>
      <c r="I108" s="5" t="s">
        <v>697</v>
      </c>
      <c r="J108" s="5"/>
      <c r="K108" s="5"/>
      <c r="L108" s="5"/>
      <c r="M108" s="5"/>
      <c r="N108" s="5"/>
      <c r="O108" s="5"/>
      <c r="P108" s="5"/>
      <c r="Q108" s="5"/>
      <c r="R108" s="4">
        <v>45777</v>
      </c>
      <c r="S108" s="4">
        <v>46099</v>
      </c>
      <c r="T108" s="5" t="str">
        <f>IF(AND(R108="", S108=""), "대기자", IF(AND(R108&lt;&gt;"", S108=""), "취업 중", IF(AND(R108="", S108&lt;&gt;""), "대기자", IF(R108=S108, "", IF(R108 &lt; S108, "대기자", "취업 중")))))</f>
        <v>대기자</v>
      </c>
      <c r="U108" s="5" t="str">
        <f>IF(J108=""," ",IF(ISNUMBER(SEARCH("소형",J108)),"소형","대형"))</f>
        <v xml:space="preserve"> </v>
      </c>
      <c r="V108" s="4">
        <v>42205</v>
      </c>
      <c r="W108" s="5"/>
      <c r="X108" s="5"/>
      <c r="Y108" s="5"/>
      <c r="Z108" s="13"/>
      <c r="AA108" s="13"/>
      <c r="AB108" s="13"/>
      <c r="AC108" s="13"/>
      <c r="AD108" s="13"/>
      <c r="AE108" s="15"/>
      <c r="AF108" s="15"/>
      <c r="AG108" s="15"/>
      <c r="AH108" s="15" t="s">
        <v>698</v>
      </c>
      <c r="AI108" s="6"/>
    </row>
    <row r="109" spans="1:35" ht="19.899999999999999" customHeight="1" x14ac:dyDescent="0.25">
      <c r="A109" s="5">
        <v>106</v>
      </c>
      <c r="B109" s="5" t="s">
        <v>33</v>
      </c>
      <c r="C109" s="5" t="s">
        <v>699</v>
      </c>
      <c r="D109" s="5" t="s">
        <v>285</v>
      </c>
      <c r="E109" s="5">
        <v>19980629</v>
      </c>
      <c r="F109" s="5" t="s">
        <v>36</v>
      </c>
      <c r="G109" s="5" t="s">
        <v>700</v>
      </c>
      <c r="H109" s="5" t="s">
        <v>38</v>
      </c>
      <c r="I109" s="5" t="s">
        <v>701</v>
      </c>
      <c r="J109" s="5"/>
      <c r="K109" s="5"/>
      <c r="L109" s="5"/>
      <c r="M109" s="5"/>
      <c r="N109" s="5"/>
      <c r="O109" s="5"/>
      <c r="P109" s="5"/>
      <c r="Q109" s="5"/>
      <c r="R109" s="4">
        <v>45903</v>
      </c>
      <c r="S109" s="4">
        <v>46133</v>
      </c>
      <c r="T109" s="5" t="str">
        <f>IF(AND(R109="", S109=""), "대기자", IF(AND(R109&lt;&gt;"", S109=""), "취업 중", IF(AND(R109="", S109&lt;&gt;""), "대기자", IF(R109=S109, "", IF(R109 &lt; S109, "대기자", "취업 중")))))</f>
        <v>대기자</v>
      </c>
      <c r="U109" s="5" t="str">
        <f>IF(J109=""," ",IF(ISNUMBER(SEARCH("소형",J109)),"소형","대형"))</f>
        <v xml:space="preserve"> </v>
      </c>
      <c r="V109" s="4">
        <v>44564</v>
      </c>
      <c r="W109" s="5"/>
      <c r="X109" s="5"/>
      <c r="Y109" s="5"/>
      <c r="Z109" s="13"/>
      <c r="AA109" s="13"/>
      <c r="AB109" s="13"/>
      <c r="AC109" s="13"/>
      <c r="AD109" s="13"/>
      <c r="AE109" s="14"/>
      <c r="AF109" s="14"/>
      <c r="AG109" s="14" t="s">
        <v>193</v>
      </c>
      <c r="AH109" s="14"/>
      <c r="AI109" s="6"/>
    </row>
    <row r="110" spans="1:35" ht="19.899999999999999" customHeight="1" x14ac:dyDescent="0.25">
      <c r="A110" s="5">
        <v>107</v>
      </c>
      <c r="B110" s="5" t="s">
        <v>33</v>
      </c>
      <c r="C110" s="5" t="s">
        <v>702</v>
      </c>
      <c r="D110" s="5" t="s">
        <v>144</v>
      </c>
      <c r="E110" s="5">
        <v>19750114</v>
      </c>
      <c r="F110" s="5" t="s">
        <v>36</v>
      </c>
      <c r="G110" s="5" t="s">
        <v>703</v>
      </c>
      <c r="H110" s="5" t="s">
        <v>38</v>
      </c>
      <c r="I110" s="5" t="s">
        <v>704</v>
      </c>
      <c r="J110" s="5" t="s">
        <v>102</v>
      </c>
      <c r="K110" s="5" t="s">
        <v>102</v>
      </c>
      <c r="L110" s="5" t="s">
        <v>705</v>
      </c>
      <c r="M110" s="5"/>
      <c r="N110" s="5"/>
      <c r="O110" s="5" t="s">
        <v>38</v>
      </c>
      <c r="P110" s="5" t="s">
        <v>45</v>
      </c>
      <c r="Q110" s="5" t="s">
        <v>706</v>
      </c>
      <c r="R110" s="4">
        <v>46128</v>
      </c>
      <c r="S110" s="4">
        <v>45930</v>
      </c>
      <c r="T110" s="5" t="str">
        <f>IF(AND(R110="", S110=""), "대기자", IF(AND(R110&lt;&gt;"", S110=""), "취업 중", IF(AND(R110="", S110&lt;&gt;""), "대기자", IF(R110=S110, "", IF(R110 &lt; S110, "대기자", "취업 중")))))</f>
        <v>취업 중</v>
      </c>
      <c r="U110" s="5" t="str">
        <f>IF(J110=""," ",IF(ISNUMBER(SEARCH("소형",J110)),"소형","대형"))</f>
        <v>소형</v>
      </c>
      <c r="V110" s="4">
        <v>45627</v>
      </c>
      <c r="W110" s="5"/>
      <c r="X110" s="5" t="s">
        <v>707</v>
      </c>
      <c r="Y110" s="5" t="s">
        <v>708</v>
      </c>
      <c r="Z110" s="13"/>
      <c r="AA110" s="13"/>
      <c r="AB110" s="13"/>
      <c r="AC110" s="13"/>
      <c r="AD110" s="13"/>
      <c r="AE110" s="15"/>
      <c r="AF110" s="15"/>
      <c r="AG110" s="15" t="s">
        <v>83</v>
      </c>
      <c r="AH110" s="15"/>
      <c r="AI110" s="6"/>
    </row>
    <row r="111" spans="1:35" ht="19.899999999999999" customHeight="1" x14ac:dyDescent="0.25">
      <c r="A111" s="5">
        <v>108</v>
      </c>
      <c r="B111" s="5" t="s">
        <v>33</v>
      </c>
      <c r="C111" s="5" t="s">
        <v>709</v>
      </c>
      <c r="D111" s="5" t="s">
        <v>99</v>
      </c>
      <c r="E111" s="5">
        <v>19670114</v>
      </c>
      <c r="F111" s="5" t="s">
        <v>36</v>
      </c>
      <c r="G111" s="5" t="s">
        <v>710</v>
      </c>
      <c r="H111" s="5" t="s">
        <v>38</v>
      </c>
      <c r="I111" s="5" t="s">
        <v>711</v>
      </c>
      <c r="J111" s="5" t="s">
        <v>263</v>
      </c>
      <c r="K111" s="5" t="s">
        <v>712</v>
      </c>
      <c r="L111" s="5" t="s">
        <v>713</v>
      </c>
      <c r="M111" s="5" t="s">
        <v>714</v>
      </c>
      <c r="N111" s="5" t="s">
        <v>715</v>
      </c>
      <c r="O111" s="5" t="s">
        <v>38</v>
      </c>
      <c r="P111" s="5" t="s">
        <v>512</v>
      </c>
      <c r="Q111" s="5" t="s">
        <v>716</v>
      </c>
      <c r="R111" s="4">
        <v>46198</v>
      </c>
      <c r="S111" s="4">
        <v>45595</v>
      </c>
      <c r="T111" s="5" t="str">
        <f>IF(AND(R111="", S111=""), "대기자", IF(AND(R111&lt;&gt;"", S111=""), "취업 중", IF(AND(R111="", S111&lt;&gt;""), "대기자", IF(R111=S111, "", IF(R111 &lt; S111, "대기자", "취업 중")))))</f>
        <v>취업 중</v>
      </c>
      <c r="U111" s="5" t="str">
        <f>IF(J111=""," ",IF(ISNUMBER(SEARCH("소형",J111)),"소형","대형"))</f>
        <v>대형</v>
      </c>
      <c r="V111" s="4">
        <v>42721</v>
      </c>
      <c r="W111" s="5"/>
      <c r="X111" s="5"/>
      <c r="Y111" s="5"/>
      <c r="Z111" s="13"/>
      <c r="AA111" s="13"/>
      <c r="AB111" s="13"/>
      <c r="AC111" s="13"/>
      <c r="AD111" s="13"/>
      <c r="AE111" s="14"/>
      <c r="AF111" s="14"/>
      <c r="AG111" s="14"/>
      <c r="AH111" s="14"/>
      <c r="AI111" s="6"/>
    </row>
    <row r="112" spans="1:35" ht="19.899999999999999" customHeight="1" x14ac:dyDescent="0.25">
      <c r="A112" s="5">
        <v>109</v>
      </c>
      <c r="B112" s="5" t="s">
        <v>33</v>
      </c>
      <c r="C112" s="5" t="s">
        <v>717</v>
      </c>
      <c r="D112" s="5" t="s">
        <v>99</v>
      </c>
      <c r="E112" s="5">
        <v>19810301</v>
      </c>
      <c r="F112" s="5" t="s">
        <v>36</v>
      </c>
      <c r="G112" s="5" t="s">
        <v>718</v>
      </c>
      <c r="H112" s="5" t="s">
        <v>38</v>
      </c>
      <c r="I112" s="5" t="s">
        <v>719</v>
      </c>
      <c r="J112" s="5" t="s">
        <v>102</v>
      </c>
      <c r="K112" s="5" t="s">
        <v>102</v>
      </c>
      <c r="L112" s="5" t="s">
        <v>720</v>
      </c>
      <c r="M112" s="5" t="s">
        <v>721</v>
      </c>
      <c r="N112" s="5" t="s">
        <v>722</v>
      </c>
      <c r="O112" s="5" t="s">
        <v>38</v>
      </c>
      <c r="P112" s="5" t="s">
        <v>80</v>
      </c>
      <c r="Q112" s="5" t="s">
        <v>723</v>
      </c>
      <c r="R112" s="4">
        <v>46230</v>
      </c>
      <c r="S112" s="4">
        <v>46081</v>
      </c>
      <c r="T112" s="5" t="str">
        <f>IF(AND(R112="", S112=""), "대기자", IF(AND(R112&lt;&gt;"", S112=""), "취업 중", IF(AND(R112="", S112&lt;&gt;""), "대기자", IF(R112=S112, "", IF(R112 &lt; S112, "대기자", "취업 중")))))</f>
        <v>취업 중</v>
      </c>
      <c r="U112" s="5" t="str">
        <f>IF(J112=""," ",IF(ISNUMBER(SEARCH("소형",J112)),"소형","대형"))</f>
        <v>소형</v>
      </c>
      <c r="V112" s="4">
        <v>45627</v>
      </c>
      <c r="W112" s="5"/>
      <c r="X112" s="5" t="s">
        <v>724</v>
      </c>
      <c r="Y112" s="5" t="s">
        <v>725</v>
      </c>
      <c r="Z112" s="13" t="s">
        <v>47</v>
      </c>
      <c r="AA112" s="13" t="s">
        <v>49</v>
      </c>
      <c r="AB112" s="13" t="s">
        <v>48</v>
      </c>
      <c r="AC112" s="13" t="s">
        <v>48</v>
      </c>
      <c r="AD112" s="13" t="s">
        <v>50</v>
      </c>
      <c r="AE112" s="15"/>
      <c r="AF112" s="15"/>
      <c r="AG112" s="15"/>
      <c r="AH112" s="15"/>
      <c r="AI112" s="6"/>
    </row>
    <row r="113" spans="1:35" ht="19.899999999999999" customHeight="1" x14ac:dyDescent="0.25">
      <c r="A113" s="5">
        <v>110</v>
      </c>
      <c r="B113" s="5" t="s">
        <v>33</v>
      </c>
      <c r="C113" s="5" t="s">
        <v>726</v>
      </c>
      <c r="D113" s="5" t="s">
        <v>67</v>
      </c>
      <c r="E113" s="5">
        <v>19650815</v>
      </c>
      <c r="F113" s="5" t="s">
        <v>36</v>
      </c>
      <c r="G113" s="5" t="s">
        <v>727</v>
      </c>
      <c r="H113" s="5" t="s">
        <v>38</v>
      </c>
      <c r="I113" s="5" t="s">
        <v>728</v>
      </c>
      <c r="J113" s="5" t="s">
        <v>235</v>
      </c>
      <c r="K113" s="5" t="s">
        <v>76</v>
      </c>
      <c r="L113" s="5" t="s">
        <v>212</v>
      </c>
      <c r="M113" s="5" t="s">
        <v>213</v>
      </c>
      <c r="N113" s="5" t="s">
        <v>214</v>
      </c>
      <c r="O113" s="5" t="s">
        <v>38</v>
      </c>
      <c r="P113" s="5" t="s">
        <v>215</v>
      </c>
      <c r="Q113" s="5" t="s">
        <v>216</v>
      </c>
      <c r="R113" s="4">
        <v>45845</v>
      </c>
      <c r="S113" s="4">
        <v>45377</v>
      </c>
      <c r="T113" s="5" t="str">
        <f>IF(AND(R113="", S113=""), "대기자", IF(AND(R113&lt;&gt;"", S113=""), "취업 중", IF(AND(R113="", S113&lt;&gt;""), "대기자", IF(R113=S113, "", IF(R113 &lt; S113, "대기자", "취업 중")))))</f>
        <v>취업 중</v>
      </c>
      <c r="U113" s="5" t="str">
        <f>IF(J113=""," ",IF(ISNUMBER(SEARCH("소형",J113)),"소형","대형"))</f>
        <v>대형</v>
      </c>
      <c r="V113" s="4">
        <v>42492</v>
      </c>
      <c r="W113" s="5"/>
      <c r="X113" s="5"/>
      <c r="Y113" s="5"/>
      <c r="Z113" s="13" t="s">
        <v>47</v>
      </c>
      <c r="AA113" s="13" t="s">
        <v>48</v>
      </c>
      <c r="AB113" s="13" t="s">
        <v>49</v>
      </c>
      <c r="AC113" s="13" t="s">
        <v>50</v>
      </c>
      <c r="AD113" s="13" t="s">
        <v>48</v>
      </c>
      <c r="AE113" s="14"/>
      <c r="AF113" s="14"/>
      <c r="AG113" s="14" t="s">
        <v>155</v>
      </c>
      <c r="AH113" s="14" t="s">
        <v>729</v>
      </c>
      <c r="AI113" s="6"/>
    </row>
    <row r="114" spans="1:35" ht="19.899999999999999" customHeight="1" x14ac:dyDescent="0.25">
      <c r="A114" s="5">
        <v>111</v>
      </c>
      <c r="B114" s="5" t="s">
        <v>33</v>
      </c>
      <c r="C114" s="5" t="s">
        <v>730</v>
      </c>
      <c r="D114" s="5" t="s">
        <v>526</v>
      </c>
      <c r="E114" s="5">
        <v>19900226</v>
      </c>
      <c r="F114" s="5" t="s">
        <v>36</v>
      </c>
      <c r="G114" s="5" t="s">
        <v>731</v>
      </c>
      <c r="H114" s="5" t="s">
        <v>38</v>
      </c>
      <c r="I114" s="5" t="s">
        <v>732</v>
      </c>
      <c r="J114" s="5" t="s">
        <v>420</v>
      </c>
      <c r="K114" s="5" t="s">
        <v>733</v>
      </c>
      <c r="L114" s="5" t="s">
        <v>734</v>
      </c>
      <c r="M114" s="5" t="s">
        <v>735</v>
      </c>
      <c r="N114" s="5" t="s">
        <v>736</v>
      </c>
      <c r="O114" s="5" t="s">
        <v>38</v>
      </c>
      <c r="P114" s="5" t="s">
        <v>635</v>
      </c>
      <c r="Q114" s="5" t="s">
        <v>737</v>
      </c>
      <c r="R114" s="4">
        <v>46195</v>
      </c>
      <c r="S114" s="4">
        <v>46053</v>
      </c>
      <c r="T114" s="5" t="str">
        <f>IF(AND(R114="", S114=""), "대기자", IF(AND(R114&lt;&gt;"", S114=""), "취업 중", IF(AND(R114="", S114&lt;&gt;""), "대기자", IF(R114=S114, "", IF(R114 &lt; S114, "대기자", "취업 중")))))</f>
        <v>취업 중</v>
      </c>
      <c r="U114" s="5" t="str">
        <f>IF(J114=""," ",IF(ISNUMBER(SEARCH("소형",J114)),"소형","대형"))</f>
        <v>대형</v>
      </c>
      <c r="V114" s="4">
        <v>41494</v>
      </c>
      <c r="W114" s="5"/>
      <c r="X114" s="5"/>
      <c r="Y114" s="5"/>
      <c r="Z114" s="13" t="s">
        <v>118</v>
      </c>
      <c r="AA114" s="13" t="s">
        <v>49</v>
      </c>
      <c r="AB114" s="13" t="s">
        <v>70</v>
      </c>
      <c r="AC114" s="13" t="s">
        <v>48</v>
      </c>
      <c r="AD114" s="13" t="s">
        <v>48</v>
      </c>
      <c r="AE114" s="15"/>
      <c r="AF114" s="15"/>
      <c r="AG114" s="15"/>
      <c r="AH114" s="15"/>
      <c r="AI114" s="6"/>
    </row>
    <row r="115" spans="1:35" ht="19.899999999999999" customHeight="1" x14ac:dyDescent="0.25">
      <c r="A115" s="5">
        <v>112</v>
      </c>
      <c r="B115" s="5" t="s">
        <v>33</v>
      </c>
      <c r="C115" s="5" t="s">
        <v>738</v>
      </c>
      <c r="D115" s="5" t="s">
        <v>72</v>
      </c>
      <c r="E115" s="5">
        <v>19680606</v>
      </c>
      <c r="F115" s="5" t="s">
        <v>36</v>
      </c>
      <c r="G115" s="5" t="s">
        <v>739</v>
      </c>
      <c r="H115" s="5" t="s">
        <v>740</v>
      </c>
      <c r="I115" s="5" t="s">
        <v>741</v>
      </c>
      <c r="J115" s="5" t="s">
        <v>59</v>
      </c>
      <c r="K115" s="5" t="s">
        <v>60</v>
      </c>
      <c r="L115" s="5" t="s">
        <v>61</v>
      </c>
      <c r="M115" s="5" t="s">
        <v>62</v>
      </c>
      <c r="N115" s="5" t="s">
        <v>63</v>
      </c>
      <c r="O115" s="5" t="s">
        <v>38</v>
      </c>
      <c r="P115" s="5" t="s">
        <v>64</v>
      </c>
      <c r="Q115" s="5" t="s">
        <v>65</v>
      </c>
      <c r="R115" s="4">
        <v>46183</v>
      </c>
      <c r="S115" s="4">
        <v>46018</v>
      </c>
      <c r="T115" s="5" t="str">
        <f>IF(AND(R115="", S115=""), "대기자", IF(AND(R115&lt;&gt;"", S115=""), "취업 중", IF(AND(R115="", S115&lt;&gt;""), "대기자", IF(R115=S115, "", IF(R115 &lt; S115, "대기자", "취업 중")))))</f>
        <v>취업 중</v>
      </c>
      <c r="U115" s="5" t="str">
        <f>IF(J115=""," ",IF(ISNUMBER(SEARCH("소형",J115)),"소형","대형"))</f>
        <v>대형</v>
      </c>
      <c r="V115" s="4">
        <v>38869</v>
      </c>
      <c r="W115" s="5"/>
      <c r="X115" s="5"/>
      <c r="Y115" s="5"/>
      <c r="Z115" s="13">
        <v>27</v>
      </c>
      <c r="AA115" s="13">
        <v>12</v>
      </c>
      <c r="AB115" s="13">
        <v>12</v>
      </c>
      <c r="AC115" s="13">
        <v>1</v>
      </c>
      <c r="AD115" s="13">
        <v>2</v>
      </c>
      <c r="AE115" s="14"/>
      <c r="AF115" s="14"/>
      <c r="AG115" s="14"/>
      <c r="AH115" s="14"/>
      <c r="AI115" s="6"/>
    </row>
    <row r="116" spans="1:35" ht="19.899999999999999" customHeight="1" x14ac:dyDescent="0.25">
      <c r="A116" s="5">
        <v>113</v>
      </c>
      <c r="B116" s="5" t="s">
        <v>33</v>
      </c>
      <c r="C116" s="5" t="s">
        <v>742</v>
      </c>
      <c r="D116" s="5" t="s">
        <v>35</v>
      </c>
      <c r="E116" s="5">
        <v>19790911</v>
      </c>
      <c r="F116" s="5" t="s">
        <v>36</v>
      </c>
      <c r="G116" s="5" t="s">
        <v>743</v>
      </c>
      <c r="H116" s="5" t="s">
        <v>38</v>
      </c>
      <c r="I116" s="5" t="s">
        <v>744</v>
      </c>
      <c r="J116" s="5"/>
      <c r="K116" s="5"/>
      <c r="L116" s="5"/>
      <c r="M116" s="5"/>
      <c r="N116" s="5"/>
      <c r="O116" s="5"/>
      <c r="P116" s="5"/>
      <c r="Q116" s="5"/>
      <c r="R116" s="4">
        <v>45761</v>
      </c>
      <c r="S116" s="4">
        <v>45996</v>
      </c>
      <c r="T116" s="5" t="str">
        <f>IF(AND(R116="", S116=""), "대기자", IF(AND(R116&lt;&gt;"", S116=""), "취업 중", IF(AND(R116="", S116&lt;&gt;""), "대기자", IF(R116=S116, "", IF(R116 &lt; S116, "대기자", "취업 중")))))</f>
        <v>대기자</v>
      </c>
      <c r="U116" s="5" t="str">
        <f>IF(J116=""," ",IF(ISNUMBER(SEARCH("소형",J116)),"소형","대형"))</f>
        <v xml:space="preserve"> </v>
      </c>
      <c r="V116" s="4">
        <v>45627</v>
      </c>
      <c r="W116" s="5"/>
      <c r="X116" s="5"/>
      <c r="Y116" s="5"/>
      <c r="Z116" s="13"/>
      <c r="AA116" s="13"/>
      <c r="AB116" s="13"/>
      <c r="AC116" s="13"/>
      <c r="AD116" s="13"/>
      <c r="AE116" s="15"/>
      <c r="AF116" s="15"/>
      <c r="AG116" s="15"/>
      <c r="AH116" s="15"/>
      <c r="AI116" s="6"/>
    </row>
    <row r="117" spans="1:35" ht="19.899999999999999" customHeight="1" x14ac:dyDescent="0.25">
      <c r="A117" s="5">
        <v>114</v>
      </c>
      <c r="B117" s="5" t="s">
        <v>33</v>
      </c>
      <c r="C117" s="5" t="s">
        <v>745</v>
      </c>
      <c r="D117" s="5" t="s">
        <v>99</v>
      </c>
      <c r="E117" s="5">
        <v>19740816</v>
      </c>
      <c r="F117" s="5" t="s">
        <v>36</v>
      </c>
      <c r="G117" s="5" t="s">
        <v>746</v>
      </c>
      <c r="H117" s="5" t="s">
        <v>38</v>
      </c>
      <c r="I117" s="5" t="s">
        <v>747</v>
      </c>
      <c r="J117" s="5" t="s">
        <v>420</v>
      </c>
      <c r="K117" s="5" t="s">
        <v>733</v>
      </c>
      <c r="L117" s="5" t="s">
        <v>734</v>
      </c>
      <c r="M117" s="5" t="s">
        <v>735</v>
      </c>
      <c r="N117" s="5" t="s">
        <v>736</v>
      </c>
      <c r="O117" s="5" t="s">
        <v>38</v>
      </c>
      <c r="P117" s="5" t="s">
        <v>635</v>
      </c>
      <c r="Q117" s="5" t="s">
        <v>737</v>
      </c>
      <c r="R117" s="4">
        <v>46132</v>
      </c>
      <c r="S117" s="4">
        <v>45695</v>
      </c>
      <c r="T117" s="5" t="str">
        <f>IF(AND(R117="", S117=""), "대기자", IF(AND(R117&lt;&gt;"", S117=""), "취업 중", IF(AND(R117="", S117&lt;&gt;""), "대기자", IF(R117=S117, "", IF(R117 &lt; S117, "대기자", "취업 중")))))</f>
        <v>취업 중</v>
      </c>
      <c r="U117" s="5" t="str">
        <f>IF(J117=""," ",IF(ISNUMBER(SEARCH("소형",J117)),"소형","대형"))</f>
        <v>대형</v>
      </c>
      <c r="V117" s="4">
        <v>43712</v>
      </c>
      <c r="W117" s="5"/>
      <c r="X117" s="5"/>
      <c r="Y117" s="5"/>
      <c r="Z117" s="13" t="s">
        <v>118</v>
      </c>
      <c r="AA117" s="13" t="s">
        <v>49</v>
      </c>
      <c r="AB117" s="13" t="s">
        <v>70</v>
      </c>
      <c r="AC117" s="13" t="s">
        <v>48</v>
      </c>
      <c r="AD117" s="13" t="s">
        <v>48</v>
      </c>
      <c r="AE117" s="14"/>
      <c r="AF117" s="14"/>
      <c r="AG117" s="14"/>
      <c r="AH117" s="14" t="s">
        <v>748</v>
      </c>
      <c r="AI117" s="6"/>
    </row>
    <row r="118" spans="1:35" ht="19.899999999999999" customHeight="1" x14ac:dyDescent="0.25">
      <c r="A118" s="5">
        <v>115</v>
      </c>
      <c r="B118" s="5" t="s">
        <v>33</v>
      </c>
      <c r="C118" s="5" t="s">
        <v>749</v>
      </c>
      <c r="D118" s="5" t="s">
        <v>99</v>
      </c>
      <c r="E118" s="5">
        <v>19731111</v>
      </c>
      <c r="F118" s="5" t="s">
        <v>36</v>
      </c>
      <c r="G118" s="5" t="s">
        <v>750</v>
      </c>
      <c r="H118" s="5" t="s">
        <v>38</v>
      </c>
      <c r="I118" s="5" t="s">
        <v>751</v>
      </c>
      <c r="J118" s="5" t="s">
        <v>59</v>
      </c>
      <c r="K118" s="5" t="s">
        <v>112</v>
      </c>
      <c r="L118" s="5" t="s">
        <v>690</v>
      </c>
      <c r="M118" s="5" t="s">
        <v>62</v>
      </c>
      <c r="N118" s="5" t="s">
        <v>63</v>
      </c>
      <c r="O118" s="5" t="s">
        <v>38</v>
      </c>
      <c r="P118" s="5" t="s">
        <v>64</v>
      </c>
      <c r="Q118" s="5" t="s">
        <v>65</v>
      </c>
      <c r="R118" s="4">
        <v>46246</v>
      </c>
      <c r="S118" s="4">
        <v>46062</v>
      </c>
      <c r="T118" s="5" t="str">
        <f>IF(AND(R118="", S118=""), "대기자", IF(AND(R118&lt;&gt;"", S118=""), "취업 중", IF(AND(R118="", S118&lt;&gt;""), "대기자", IF(R118=S118, "", IF(R118 &lt; S118, "대기자", "취업 중")))))</f>
        <v>취업 중</v>
      </c>
      <c r="U118" s="5" t="str">
        <f>IF(J118=""," ",IF(ISNUMBER(SEARCH("소형",J118)),"소형","대형"))</f>
        <v>대형</v>
      </c>
      <c r="V118" s="4">
        <v>42455</v>
      </c>
      <c r="W118" s="5"/>
      <c r="X118" s="5"/>
      <c r="Y118" s="5"/>
      <c r="Z118" s="13">
        <v>8</v>
      </c>
      <c r="AA118" s="13">
        <v>3</v>
      </c>
      <c r="AB118" s="13">
        <v>5</v>
      </c>
      <c r="AC118" s="13">
        <v>0</v>
      </c>
      <c r="AD118" s="13">
        <v>0</v>
      </c>
      <c r="AE118" s="15"/>
      <c r="AF118" s="15"/>
      <c r="AG118" s="15"/>
      <c r="AH118" s="15"/>
      <c r="AI118" s="6"/>
    </row>
    <row r="119" spans="1:35" ht="19.899999999999999" customHeight="1" x14ac:dyDescent="0.25">
      <c r="A119" s="5">
        <v>116</v>
      </c>
      <c r="B119" s="5" t="s">
        <v>33</v>
      </c>
      <c r="C119" s="5" t="s">
        <v>752</v>
      </c>
      <c r="D119" s="5" t="s">
        <v>56</v>
      </c>
      <c r="E119" s="5">
        <v>19690415</v>
      </c>
      <c r="F119" s="5" t="s">
        <v>36</v>
      </c>
      <c r="G119" s="5" t="s">
        <v>753</v>
      </c>
      <c r="H119" s="5" t="s">
        <v>38</v>
      </c>
      <c r="I119" s="5" t="s">
        <v>754</v>
      </c>
      <c r="J119" s="5"/>
      <c r="K119" s="5"/>
      <c r="L119" s="5"/>
      <c r="M119" s="5"/>
      <c r="N119" s="5"/>
      <c r="O119" s="5"/>
      <c r="P119" s="5"/>
      <c r="Q119" s="5"/>
      <c r="R119" s="4">
        <v>46014</v>
      </c>
      <c r="S119" s="4">
        <v>46256</v>
      </c>
      <c r="T119" s="5" t="str">
        <f>IF(AND(R119="", S119=""), "대기자", IF(AND(R119&lt;&gt;"", S119=""), "취업 중", IF(AND(R119="", S119&lt;&gt;""), "대기자", IF(R119=S119, "", IF(R119 &lt; S119, "대기자", "취업 중")))))</f>
        <v>대기자</v>
      </c>
      <c r="U119" s="5" t="str">
        <f>IF(J119=""," ",IF(ISNUMBER(SEARCH("소형",J119)),"소형","대형"))</f>
        <v xml:space="preserve"> </v>
      </c>
      <c r="V119" s="4">
        <v>42485</v>
      </c>
      <c r="W119" s="5"/>
      <c r="X119" s="5"/>
      <c r="Y119" s="5"/>
      <c r="Z119" s="13"/>
      <c r="AA119" s="13"/>
      <c r="AB119" s="13"/>
      <c r="AC119" s="13"/>
      <c r="AD119" s="13"/>
      <c r="AE119" s="14"/>
      <c r="AF119" s="14"/>
      <c r="AG119" s="14" t="s">
        <v>83</v>
      </c>
      <c r="AH119" s="14" t="s">
        <v>755</v>
      </c>
      <c r="AI119" s="6"/>
    </row>
    <row r="120" spans="1:35" ht="19.899999999999999" customHeight="1" x14ac:dyDescent="0.25">
      <c r="A120" s="5">
        <v>117</v>
      </c>
      <c r="B120" s="5" t="s">
        <v>33</v>
      </c>
      <c r="C120" s="5" t="s">
        <v>756</v>
      </c>
      <c r="D120" s="5" t="s">
        <v>144</v>
      </c>
      <c r="E120" s="5">
        <v>19790308</v>
      </c>
      <c r="F120" s="5" t="s">
        <v>36</v>
      </c>
      <c r="G120" s="5" t="s">
        <v>757</v>
      </c>
      <c r="H120" s="5" t="s">
        <v>38</v>
      </c>
      <c r="I120" s="5" t="s">
        <v>758</v>
      </c>
      <c r="J120" s="5"/>
      <c r="K120" s="5"/>
      <c r="L120" s="5"/>
      <c r="M120" s="5"/>
      <c r="N120" s="5"/>
      <c r="O120" s="5"/>
      <c r="P120" s="5"/>
      <c r="Q120" s="5"/>
      <c r="R120" s="4">
        <v>44987</v>
      </c>
      <c r="S120" s="4">
        <v>45507</v>
      </c>
      <c r="T120" s="5" t="str">
        <f>IF(AND(R120="", S120=""), "대기자", IF(AND(R120&lt;&gt;"", S120=""), "취업 중", IF(AND(R120="", S120&lt;&gt;""), "대기자", IF(R120=S120, "", IF(R120 &lt; S120, "대기자", "취업 중")))))</f>
        <v>대기자</v>
      </c>
      <c r="U120" s="5" t="str">
        <f>IF(J120=""," ",IF(ISNUMBER(SEARCH("소형",J120)),"소형","대형"))</f>
        <v xml:space="preserve"> </v>
      </c>
      <c r="V120" s="4">
        <v>39722</v>
      </c>
      <c r="W120" s="5"/>
      <c r="X120" s="5"/>
      <c r="Y120" s="5"/>
      <c r="Z120" s="13"/>
      <c r="AA120" s="13"/>
      <c r="AB120" s="13"/>
      <c r="AC120" s="13"/>
      <c r="AD120" s="13"/>
      <c r="AE120" s="15"/>
      <c r="AF120" s="15"/>
      <c r="AG120" s="15"/>
      <c r="AH120" s="15"/>
      <c r="AI120" s="6"/>
    </row>
    <row r="121" spans="1:35" ht="19.899999999999999" customHeight="1" x14ac:dyDescent="0.25">
      <c r="A121" s="5">
        <v>118</v>
      </c>
      <c r="B121" s="5" t="s">
        <v>33</v>
      </c>
      <c r="C121" s="5" t="s">
        <v>759</v>
      </c>
      <c r="D121" s="5" t="s">
        <v>99</v>
      </c>
      <c r="E121" s="5">
        <v>19781027</v>
      </c>
      <c r="F121" s="5" t="s">
        <v>36</v>
      </c>
      <c r="G121" s="5" t="s">
        <v>760</v>
      </c>
      <c r="H121" s="5" t="s">
        <v>38</v>
      </c>
      <c r="I121" s="5" t="s">
        <v>761</v>
      </c>
      <c r="J121" s="5" t="s">
        <v>59</v>
      </c>
      <c r="K121" s="5" t="s">
        <v>60</v>
      </c>
      <c r="L121" s="5" t="s">
        <v>580</v>
      </c>
      <c r="M121" s="5" t="s">
        <v>62</v>
      </c>
      <c r="N121" s="5" t="s">
        <v>63</v>
      </c>
      <c r="O121" s="5" t="s">
        <v>38</v>
      </c>
      <c r="P121" s="5" t="s">
        <v>64</v>
      </c>
      <c r="Q121" s="5" t="s">
        <v>65</v>
      </c>
      <c r="R121" s="4">
        <v>46281</v>
      </c>
      <c r="S121" s="4">
        <v>46189</v>
      </c>
      <c r="T121" s="5" t="str">
        <f>IF(AND(R121="", S121=""), "대기자", IF(AND(R121&lt;&gt;"", S121=""), "취업 중", IF(AND(R121="", S121&lt;&gt;""), "대기자", IF(R121=S121, "", IF(R121 &lt; S121, "대기자", "취업 중")))))</f>
        <v>취업 중</v>
      </c>
      <c r="U121" s="5" t="str">
        <f>IF(J121=""," ",IF(ISNUMBER(SEARCH("소형",J121)),"소형","대형"))</f>
        <v>대형</v>
      </c>
      <c r="V121" s="4">
        <v>44564</v>
      </c>
      <c r="W121" s="5"/>
      <c r="X121" s="5"/>
      <c r="Y121" s="5"/>
      <c r="Z121" s="22"/>
      <c r="AA121" s="22"/>
      <c r="AB121" s="22"/>
      <c r="AC121" s="22"/>
      <c r="AD121" s="22"/>
      <c r="AE121" s="14"/>
      <c r="AF121" s="14"/>
      <c r="AG121" s="14"/>
      <c r="AH121" s="14"/>
      <c r="AI121" s="6"/>
    </row>
    <row r="122" spans="1:35" ht="19.899999999999999" customHeight="1" x14ac:dyDescent="0.25">
      <c r="A122" s="5">
        <v>119</v>
      </c>
      <c r="B122" s="5" t="s">
        <v>33</v>
      </c>
      <c r="C122" s="5" t="s">
        <v>762</v>
      </c>
      <c r="D122" s="5" t="s">
        <v>67</v>
      </c>
      <c r="E122" s="5">
        <v>19790106</v>
      </c>
      <c r="F122" s="5" t="s">
        <v>36</v>
      </c>
      <c r="G122" s="5" t="s">
        <v>763</v>
      </c>
      <c r="H122" s="5" t="s">
        <v>38</v>
      </c>
      <c r="I122" s="5" t="s">
        <v>764</v>
      </c>
      <c r="J122" s="5" t="s">
        <v>59</v>
      </c>
      <c r="K122" s="5" t="s">
        <v>60</v>
      </c>
      <c r="L122" s="5" t="s">
        <v>580</v>
      </c>
      <c r="M122" s="5" t="s">
        <v>62</v>
      </c>
      <c r="N122" s="5" t="s">
        <v>63</v>
      </c>
      <c r="O122" s="5" t="s">
        <v>38</v>
      </c>
      <c r="P122" s="5" t="s">
        <v>64</v>
      </c>
      <c r="Q122" s="5" t="s">
        <v>65</v>
      </c>
      <c r="R122" s="4">
        <v>46281</v>
      </c>
      <c r="S122" s="4">
        <v>46255</v>
      </c>
      <c r="T122" s="5" t="str">
        <f>IF(AND(R122="", S122=""), "대기자", IF(AND(R122&lt;&gt;"", S122=""), "취업 중", IF(AND(R122="", S122&lt;&gt;""), "대기자", IF(R122=S122, "", IF(R122 &lt; S122, "대기자", "취업 중")))))</f>
        <v>취업 중</v>
      </c>
      <c r="U122" s="5" t="str">
        <f>IF(J122=""," ",IF(ISNUMBER(SEARCH("소형",J122)),"소형","대형"))</f>
        <v>대형</v>
      </c>
      <c r="V122" s="4">
        <v>43800</v>
      </c>
      <c r="W122" s="5"/>
      <c r="X122" s="5"/>
      <c r="Y122" s="5"/>
      <c r="Z122" s="22"/>
      <c r="AA122" s="22"/>
      <c r="AB122" s="22"/>
      <c r="AC122" s="22"/>
      <c r="AD122" s="22"/>
      <c r="AE122" s="15"/>
      <c r="AF122" s="15"/>
      <c r="AG122" s="15" t="s">
        <v>184</v>
      </c>
      <c r="AH122" s="15" t="s">
        <v>765</v>
      </c>
      <c r="AI122" s="6"/>
    </row>
    <row r="123" spans="1:35" ht="19.899999999999999" customHeight="1" x14ac:dyDescent="0.25">
      <c r="A123" s="5">
        <v>120</v>
      </c>
      <c r="B123" s="5" t="s">
        <v>33</v>
      </c>
      <c r="C123" s="5" t="s">
        <v>766</v>
      </c>
      <c r="D123" s="5" t="s">
        <v>144</v>
      </c>
      <c r="E123" s="5">
        <v>19830513</v>
      </c>
      <c r="F123" s="5" t="s">
        <v>36</v>
      </c>
      <c r="G123" s="5" t="s">
        <v>767</v>
      </c>
      <c r="H123" s="5" t="s">
        <v>38</v>
      </c>
      <c r="I123" s="5" t="s">
        <v>768</v>
      </c>
      <c r="J123" s="5"/>
      <c r="K123" s="5"/>
      <c r="L123" s="5"/>
      <c r="M123" s="5"/>
      <c r="N123" s="5"/>
      <c r="O123" s="5"/>
      <c r="P123" s="5"/>
      <c r="Q123" s="5"/>
      <c r="R123" s="4">
        <v>45964</v>
      </c>
      <c r="S123" s="4">
        <v>46265</v>
      </c>
      <c r="T123" s="5" t="str">
        <f>IF(AND(R123="", S123=""), "대기자", IF(AND(R123&lt;&gt;"", S123=""), "취업 중", IF(AND(R123="", S123&lt;&gt;""), "대기자", IF(R123=S123, "", IF(R123 &lt; S123, "대기자", "취업 중")))))</f>
        <v>대기자</v>
      </c>
      <c r="U123" s="5" t="str">
        <f>IF(J123=""," ",IF(ISNUMBER(SEARCH("소형",J123)),"소형","대형"))</f>
        <v xml:space="preserve"> </v>
      </c>
      <c r="V123" s="4">
        <v>45972</v>
      </c>
      <c r="W123" s="5"/>
      <c r="X123" s="5"/>
      <c r="Y123" s="5"/>
      <c r="Z123" s="13"/>
      <c r="AA123" s="13"/>
      <c r="AB123" s="13"/>
      <c r="AC123" s="13"/>
      <c r="AD123" s="13"/>
      <c r="AE123" s="14"/>
      <c r="AF123" s="14"/>
      <c r="AG123" s="14"/>
      <c r="AH123" s="14"/>
      <c r="AI123" s="6"/>
    </row>
    <row r="124" spans="1:35" ht="19.899999999999999" customHeight="1" x14ac:dyDescent="0.25">
      <c r="A124" s="5">
        <v>121</v>
      </c>
      <c r="B124" s="5" t="s">
        <v>33</v>
      </c>
      <c r="C124" s="5" t="s">
        <v>769</v>
      </c>
      <c r="D124" s="5" t="s">
        <v>35</v>
      </c>
      <c r="E124" s="5">
        <v>19730324</v>
      </c>
      <c r="F124" s="5" t="s">
        <v>36</v>
      </c>
      <c r="G124" s="5" t="s">
        <v>770</v>
      </c>
      <c r="H124" s="5" t="s">
        <v>38</v>
      </c>
      <c r="I124" s="5" t="s">
        <v>771</v>
      </c>
      <c r="J124" s="5" t="s">
        <v>102</v>
      </c>
      <c r="K124" s="5" t="s">
        <v>102</v>
      </c>
      <c r="L124" s="5" t="s">
        <v>772</v>
      </c>
      <c r="M124" s="5"/>
      <c r="N124" s="5"/>
      <c r="O124" s="5" t="s">
        <v>38</v>
      </c>
      <c r="P124" s="5" t="s">
        <v>152</v>
      </c>
      <c r="Q124" s="5" t="s">
        <v>773</v>
      </c>
      <c r="R124" s="4">
        <v>46266</v>
      </c>
      <c r="S124" s="4">
        <v>46206</v>
      </c>
      <c r="T124" s="5" t="str">
        <f>IF(AND(R124="", S124=""), "대기자", IF(AND(R124&lt;&gt;"", S124=""), "취업 중", IF(AND(R124="", S124&lt;&gt;""), "대기자", IF(R124=S124, "", IF(R124 &lt; S124, "대기자", "취업 중")))))</f>
        <v>취업 중</v>
      </c>
      <c r="U124" s="5" t="str">
        <f>IF(J124=""," ",IF(ISNUMBER(SEARCH("소형",J124)),"소형","대형"))</f>
        <v>소형</v>
      </c>
      <c r="V124" s="4">
        <v>42454</v>
      </c>
      <c r="W124" s="5"/>
      <c r="X124" s="5" t="s">
        <v>482</v>
      </c>
      <c r="Y124" s="5" t="s">
        <v>774</v>
      </c>
      <c r="Z124" s="13" t="s">
        <v>82</v>
      </c>
      <c r="AA124" s="13" t="s">
        <v>49</v>
      </c>
      <c r="AB124" s="13" t="s">
        <v>70</v>
      </c>
      <c r="AC124" s="13" t="s">
        <v>50</v>
      </c>
      <c r="AD124" s="13" t="s">
        <v>48</v>
      </c>
      <c r="AE124" s="15"/>
      <c r="AF124" s="15"/>
      <c r="AG124" s="15"/>
      <c r="AH124" s="15" t="s">
        <v>775</v>
      </c>
      <c r="AI124" s="6"/>
    </row>
    <row r="125" spans="1:35" ht="19.899999999999999" customHeight="1" x14ac:dyDescent="0.25">
      <c r="A125" s="5">
        <v>122</v>
      </c>
      <c r="B125" s="5" t="s">
        <v>33</v>
      </c>
      <c r="C125" s="5" t="s">
        <v>776</v>
      </c>
      <c r="D125" s="5" t="s">
        <v>72</v>
      </c>
      <c r="E125" s="5">
        <v>19700409</v>
      </c>
      <c r="F125" s="5" t="s">
        <v>36</v>
      </c>
      <c r="G125" s="5" t="s">
        <v>777</v>
      </c>
      <c r="H125" s="5" t="s">
        <v>38</v>
      </c>
      <c r="I125" s="5" t="s">
        <v>778</v>
      </c>
      <c r="J125" s="5"/>
      <c r="K125" s="5"/>
      <c r="L125" s="5"/>
      <c r="M125" s="5"/>
      <c r="N125" s="5"/>
      <c r="O125" s="5"/>
      <c r="P125" s="5"/>
      <c r="Q125" s="5"/>
      <c r="R125" s="4">
        <v>45996</v>
      </c>
      <c r="S125" s="4">
        <v>46188</v>
      </c>
      <c r="T125" s="5" t="str">
        <f>IF(AND(R125="", S125=""), "대기자", IF(AND(R125&lt;&gt;"", S125=""), "취업 중", IF(AND(R125="", S125&lt;&gt;""), "대기자", IF(R125=S125, "", IF(R125 &lt; S125, "대기자", "취업 중")))))</f>
        <v>대기자</v>
      </c>
      <c r="U125" s="5" t="str">
        <f>IF(J125=""," ",IF(ISNUMBER(SEARCH("소형",J125)),"소형","대형"))</f>
        <v xml:space="preserve"> </v>
      </c>
      <c r="V125" s="4">
        <v>38869</v>
      </c>
      <c r="W125" s="5"/>
      <c r="X125" s="5"/>
      <c r="Y125" s="5"/>
      <c r="Z125" s="13"/>
      <c r="AA125" s="13"/>
      <c r="AB125" s="13"/>
      <c r="AC125" s="13"/>
      <c r="AD125" s="13"/>
      <c r="AE125" s="14"/>
      <c r="AF125" s="14"/>
      <c r="AG125" s="14" t="s">
        <v>155</v>
      </c>
      <c r="AH125" s="14" t="s">
        <v>779</v>
      </c>
      <c r="AI125" s="6"/>
    </row>
    <row r="126" spans="1:35" ht="19.899999999999999" customHeight="1" x14ac:dyDescent="0.25">
      <c r="A126" s="5">
        <v>123</v>
      </c>
      <c r="B126" s="5" t="s">
        <v>33</v>
      </c>
      <c r="C126" s="5" t="s">
        <v>780</v>
      </c>
      <c r="D126" s="5" t="s">
        <v>56</v>
      </c>
      <c r="E126" s="5">
        <v>19771020</v>
      </c>
      <c r="F126" s="5" t="s">
        <v>36</v>
      </c>
      <c r="G126" s="5" t="s">
        <v>781</v>
      </c>
      <c r="H126" s="5" t="s">
        <v>38</v>
      </c>
      <c r="I126" s="5" t="s">
        <v>782</v>
      </c>
      <c r="J126" s="5"/>
      <c r="K126" s="5"/>
      <c r="L126" s="5"/>
      <c r="M126" s="5"/>
      <c r="N126" s="5"/>
      <c r="O126" s="5"/>
      <c r="P126" s="5"/>
      <c r="Q126" s="5"/>
      <c r="R126" s="4">
        <v>45664</v>
      </c>
      <c r="S126" s="4">
        <v>46115</v>
      </c>
      <c r="T126" s="5" t="str">
        <f>IF(AND(R126="", S126=""), "대기자", IF(AND(R126&lt;&gt;"", S126=""), "취업 중", IF(AND(R126="", S126&lt;&gt;""), "대기자", IF(R126=S126, "", IF(R126 &lt; S126, "대기자", "취업 중")))))</f>
        <v>대기자</v>
      </c>
      <c r="U126" s="5" t="str">
        <f>IF(J126=""," ",IF(ISNUMBER(SEARCH("소형",J126)),"소형","대형"))</f>
        <v xml:space="preserve"> </v>
      </c>
      <c r="V126" s="4">
        <v>42099</v>
      </c>
      <c r="W126" s="5"/>
      <c r="X126" s="5"/>
      <c r="Y126" s="5"/>
      <c r="Z126" s="13"/>
      <c r="AA126" s="13"/>
      <c r="AB126" s="13"/>
      <c r="AC126" s="13"/>
      <c r="AD126" s="13"/>
      <c r="AE126" s="15"/>
      <c r="AF126" s="15"/>
      <c r="AG126" s="15"/>
      <c r="AH126" s="15"/>
      <c r="AI126" s="6"/>
    </row>
    <row r="127" spans="1:35" ht="19.899999999999999" customHeight="1" x14ac:dyDescent="0.25">
      <c r="A127" s="5">
        <v>124</v>
      </c>
      <c r="B127" s="5" t="s">
        <v>33</v>
      </c>
      <c r="C127" s="5" t="s">
        <v>783</v>
      </c>
      <c r="D127" s="5" t="s">
        <v>35</v>
      </c>
      <c r="E127" s="5">
        <v>19830425</v>
      </c>
      <c r="F127" s="5" t="s">
        <v>36</v>
      </c>
      <c r="G127" s="5" t="s">
        <v>784</v>
      </c>
      <c r="H127" s="5" t="s">
        <v>38</v>
      </c>
      <c r="I127" s="5" t="s">
        <v>785</v>
      </c>
      <c r="J127" s="5" t="s">
        <v>59</v>
      </c>
      <c r="K127" s="5" t="s">
        <v>60</v>
      </c>
      <c r="L127" s="5" t="s">
        <v>61</v>
      </c>
      <c r="M127" s="5" t="s">
        <v>62</v>
      </c>
      <c r="N127" s="5" t="s">
        <v>63</v>
      </c>
      <c r="O127" s="5" t="s">
        <v>38</v>
      </c>
      <c r="P127" s="5" t="s">
        <v>64</v>
      </c>
      <c r="Q127" s="5" t="s">
        <v>65</v>
      </c>
      <c r="R127" s="4">
        <v>46202</v>
      </c>
      <c r="S127" s="4">
        <v>46050</v>
      </c>
      <c r="T127" s="5" t="str">
        <f>IF(AND(R127="", S127=""), "대기자", IF(AND(R127&lt;&gt;"", S127=""), "취업 중", IF(AND(R127="", S127&lt;&gt;""), "대기자", IF(R127=S127, "", IF(R127 &lt; S127, "대기자", "취업 중")))))</f>
        <v>취업 중</v>
      </c>
      <c r="U127" s="5" t="str">
        <f>IF(J127=""," ",IF(ISNUMBER(SEARCH("소형",J127)),"소형","대형"))</f>
        <v>대형</v>
      </c>
      <c r="V127" s="4">
        <v>43712</v>
      </c>
      <c r="W127" s="5"/>
      <c r="X127" s="5"/>
      <c r="Y127" s="5"/>
      <c r="Z127" s="13">
        <v>27</v>
      </c>
      <c r="AA127" s="13">
        <v>12</v>
      </c>
      <c r="AB127" s="13">
        <v>12</v>
      </c>
      <c r="AC127" s="13">
        <v>1</v>
      </c>
      <c r="AD127" s="13">
        <v>2</v>
      </c>
      <c r="AE127" s="14"/>
      <c r="AF127" s="14"/>
      <c r="AG127" s="14" t="s">
        <v>83</v>
      </c>
      <c r="AH127" s="14"/>
      <c r="AI127" s="6"/>
    </row>
    <row r="128" spans="1:35" ht="19.899999999999999" customHeight="1" x14ac:dyDescent="0.25">
      <c r="A128" s="5">
        <v>125</v>
      </c>
      <c r="B128" s="5" t="s">
        <v>33</v>
      </c>
      <c r="C128" s="5" t="s">
        <v>786</v>
      </c>
      <c r="D128" s="5" t="s">
        <v>285</v>
      </c>
      <c r="E128" s="5">
        <v>20010904</v>
      </c>
      <c r="F128" s="5" t="s">
        <v>36</v>
      </c>
      <c r="G128" s="5" t="s">
        <v>787</v>
      </c>
      <c r="H128" s="5" t="s">
        <v>38</v>
      </c>
      <c r="I128" s="5" t="s">
        <v>788</v>
      </c>
      <c r="J128" s="5" t="s">
        <v>102</v>
      </c>
      <c r="K128" s="5" t="s">
        <v>102</v>
      </c>
      <c r="L128" s="5" t="s">
        <v>789</v>
      </c>
      <c r="M128" s="5" t="s">
        <v>790</v>
      </c>
      <c r="N128" s="5" t="s">
        <v>791</v>
      </c>
      <c r="O128" s="5" t="s">
        <v>38</v>
      </c>
      <c r="P128" s="5" t="s">
        <v>512</v>
      </c>
      <c r="Q128" s="5" t="s">
        <v>792</v>
      </c>
      <c r="R128" s="4">
        <v>46223</v>
      </c>
      <c r="S128" s="4">
        <v>46162</v>
      </c>
      <c r="T128" s="5" t="str">
        <f>IF(AND(R128="", S128=""), "대기자", IF(AND(R128&lt;&gt;"", S128=""), "취업 중", IF(AND(R128="", S128&lt;&gt;""), "대기자", IF(R128=S128, "", IF(R128 &lt; S128, "대기자", "취업 중")))))</f>
        <v>취업 중</v>
      </c>
      <c r="U128" s="5" t="str">
        <f>IF(J128=""," ",IF(ISNUMBER(SEARCH("소형",J128)),"소형","대형"))</f>
        <v>소형</v>
      </c>
      <c r="V128" s="4">
        <v>45972</v>
      </c>
      <c r="W128" s="5"/>
      <c r="X128" s="5" t="s">
        <v>793</v>
      </c>
      <c r="Y128" s="5" t="s">
        <v>794</v>
      </c>
      <c r="Z128" s="13"/>
      <c r="AA128" s="13"/>
      <c r="AB128" s="13"/>
      <c r="AC128" s="13"/>
      <c r="AD128" s="13"/>
      <c r="AE128" s="15"/>
      <c r="AF128" s="15"/>
      <c r="AG128" s="15"/>
      <c r="AH128" s="15"/>
      <c r="AI128" s="6"/>
    </row>
    <row r="129" spans="1:35" ht="19.899999999999999" customHeight="1" x14ac:dyDescent="0.25">
      <c r="A129" s="5">
        <v>126</v>
      </c>
      <c r="B129" s="5" t="s">
        <v>33</v>
      </c>
      <c r="C129" s="5" t="s">
        <v>795</v>
      </c>
      <c r="D129" s="5" t="s">
        <v>179</v>
      </c>
      <c r="E129" s="5">
        <v>19710205</v>
      </c>
      <c r="F129" s="5" t="s">
        <v>36</v>
      </c>
      <c r="G129" s="5" t="s">
        <v>796</v>
      </c>
      <c r="H129" s="5" t="s">
        <v>38</v>
      </c>
      <c r="I129" s="5" t="s">
        <v>797</v>
      </c>
      <c r="J129" s="5"/>
      <c r="K129" s="5"/>
      <c r="L129" s="5"/>
      <c r="M129" s="5"/>
      <c r="N129" s="5"/>
      <c r="O129" s="5"/>
      <c r="P129" s="5"/>
      <c r="Q129" s="5"/>
      <c r="R129" s="4">
        <v>45751</v>
      </c>
      <c r="S129" s="4">
        <v>46258</v>
      </c>
      <c r="T129" s="5" t="str">
        <f>IF(AND(R129="", S129=""), "대기자", IF(AND(R129&lt;&gt;"", S129=""), "취업 중", IF(AND(R129="", S129&lt;&gt;""), "대기자", IF(R129=S129, "", IF(R129 &lt; S129, "대기자", "취업 중")))))</f>
        <v>대기자</v>
      </c>
      <c r="U129" s="5" t="str">
        <f>IF(J129=""," ",IF(ISNUMBER(SEARCH("소형",J129)),"소형","대형"))</f>
        <v xml:space="preserve"> </v>
      </c>
      <c r="V129" s="4">
        <v>42598</v>
      </c>
      <c r="W129" s="5"/>
      <c r="X129" s="5"/>
      <c r="Y129" s="5"/>
      <c r="Z129" s="13"/>
      <c r="AA129" s="13"/>
      <c r="AB129" s="13"/>
      <c r="AC129" s="13"/>
      <c r="AD129" s="13"/>
      <c r="AE129" s="14" t="s">
        <v>182</v>
      </c>
      <c r="AF129" s="14" t="s">
        <v>183</v>
      </c>
      <c r="AG129" s="14" t="s">
        <v>83</v>
      </c>
      <c r="AH129" s="14" t="s">
        <v>798</v>
      </c>
      <c r="AI129" s="6"/>
    </row>
    <row r="130" spans="1:35" ht="19.899999999999999" customHeight="1" x14ac:dyDescent="0.25">
      <c r="A130" s="5">
        <v>127</v>
      </c>
      <c r="B130" s="5" t="s">
        <v>33</v>
      </c>
      <c r="C130" s="5" t="s">
        <v>799</v>
      </c>
      <c r="D130" s="5" t="s">
        <v>144</v>
      </c>
      <c r="E130" s="5">
        <v>19790312</v>
      </c>
      <c r="F130" s="5" t="s">
        <v>36</v>
      </c>
      <c r="G130" s="5" t="s">
        <v>800</v>
      </c>
      <c r="H130" s="5" t="s">
        <v>38</v>
      </c>
      <c r="I130" s="5" t="s">
        <v>801</v>
      </c>
      <c r="J130" s="5" t="s">
        <v>494</v>
      </c>
      <c r="K130" s="5" t="s">
        <v>128</v>
      </c>
      <c r="L130" s="5" t="s">
        <v>802</v>
      </c>
      <c r="M130" s="5" t="s">
        <v>803</v>
      </c>
      <c r="N130" s="5" t="s">
        <v>804</v>
      </c>
      <c r="O130" s="5" t="s">
        <v>38</v>
      </c>
      <c r="P130" s="5" t="s">
        <v>132</v>
      </c>
      <c r="Q130" s="5" t="s">
        <v>805</v>
      </c>
      <c r="R130" s="4">
        <v>46001</v>
      </c>
      <c r="S130" s="4">
        <v>45528</v>
      </c>
      <c r="T130" s="5" t="str">
        <f>IF(AND(R130="", S130=""), "대기자", IF(AND(R130&lt;&gt;"", S130=""), "취업 중", IF(AND(R130="", S130&lt;&gt;""), "대기자", IF(R130=S130, "", IF(R130 &lt; S130, "대기자", "취업 중")))))</f>
        <v>취업 중</v>
      </c>
      <c r="U130" s="5" t="str">
        <f>IF(J130=""," ",IF(ISNUMBER(SEARCH("소형",J130)),"소형","대형"))</f>
        <v>대형</v>
      </c>
      <c r="V130" s="4">
        <v>42178</v>
      </c>
      <c r="W130" s="5"/>
      <c r="X130" s="5"/>
      <c r="Y130" s="5"/>
      <c r="Z130" s="13" t="s">
        <v>70</v>
      </c>
      <c r="AA130" s="13" t="s">
        <v>48</v>
      </c>
      <c r="AB130" s="13" t="s">
        <v>48</v>
      </c>
      <c r="AC130" s="13" t="s">
        <v>50</v>
      </c>
      <c r="AD130" s="13" t="s">
        <v>48</v>
      </c>
      <c r="AE130" s="15"/>
      <c r="AF130" s="15"/>
      <c r="AG130" s="15" t="s">
        <v>83</v>
      </c>
      <c r="AH130" s="15" t="s">
        <v>806</v>
      </c>
      <c r="AI130" s="6"/>
    </row>
    <row r="131" spans="1:35" ht="19.899999999999999" customHeight="1" x14ac:dyDescent="0.25">
      <c r="A131" s="5">
        <v>128</v>
      </c>
      <c r="B131" s="5" t="s">
        <v>33</v>
      </c>
      <c r="C131" s="5" t="s">
        <v>807</v>
      </c>
      <c r="D131" s="5" t="s">
        <v>35</v>
      </c>
      <c r="E131" s="5">
        <v>19730520</v>
      </c>
      <c r="F131" s="5" t="s">
        <v>36</v>
      </c>
      <c r="G131" s="5" t="s">
        <v>808</v>
      </c>
      <c r="H131" s="5" t="s">
        <v>38</v>
      </c>
      <c r="I131" s="5" t="s">
        <v>809</v>
      </c>
      <c r="J131" s="5" t="s">
        <v>59</v>
      </c>
      <c r="K131" s="5" t="s">
        <v>60</v>
      </c>
      <c r="L131" s="5" t="s">
        <v>550</v>
      </c>
      <c r="M131" s="5" t="s">
        <v>62</v>
      </c>
      <c r="N131" s="5" t="s">
        <v>63</v>
      </c>
      <c r="O131" s="5" t="s">
        <v>38</v>
      </c>
      <c r="P131" s="5" t="s">
        <v>64</v>
      </c>
      <c r="Q131" s="5" t="s">
        <v>172</v>
      </c>
      <c r="R131" s="4">
        <v>45356</v>
      </c>
      <c r="S131" s="4">
        <v>45283</v>
      </c>
      <c r="T131" s="5" t="str">
        <f>IF(AND(R131="", S131=""), "대기자", IF(AND(R131&lt;&gt;"", S131=""), "취업 중", IF(AND(R131="", S131&lt;&gt;""), "대기자", IF(R131=S131, "", IF(R131 &lt; S131, "대기자", "취업 중")))))</f>
        <v>취업 중</v>
      </c>
      <c r="U131" s="5" t="str">
        <f>IF(J131=""," ",IF(ISNUMBER(SEARCH("소형",J131)),"소형","대형"))</f>
        <v>대형</v>
      </c>
      <c r="V131" s="4">
        <v>39083</v>
      </c>
      <c r="W131" s="5"/>
      <c r="X131" s="5"/>
      <c r="Y131" s="5"/>
      <c r="Z131" s="13">
        <v>14</v>
      </c>
      <c r="AA131" s="13">
        <v>5</v>
      </c>
      <c r="AB131" s="13">
        <v>6</v>
      </c>
      <c r="AC131" s="13">
        <v>0</v>
      </c>
      <c r="AD131" s="13">
        <v>3</v>
      </c>
      <c r="AE131" s="14"/>
      <c r="AF131" s="14"/>
      <c r="AG131" s="14" t="s">
        <v>83</v>
      </c>
      <c r="AH131" s="14" t="s">
        <v>810</v>
      </c>
      <c r="AI131" s="6"/>
    </row>
    <row r="132" spans="1:35" ht="19.899999999999999" customHeight="1" x14ac:dyDescent="0.25">
      <c r="A132" s="5">
        <v>129</v>
      </c>
      <c r="B132" s="5" t="s">
        <v>33</v>
      </c>
      <c r="C132" s="5" t="s">
        <v>811</v>
      </c>
      <c r="D132" s="5" t="s">
        <v>99</v>
      </c>
      <c r="E132" s="5">
        <v>19741009</v>
      </c>
      <c r="F132" s="5" t="s">
        <v>36</v>
      </c>
      <c r="G132" s="5" t="s">
        <v>812</v>
      </c>
      <c r="H132" s="5" t="s">
        <v>38</v>
      </c>
      <c r="I132" s="5" t="s">
        <v>813</v>
      </c>
      <c r="J132" s="5" t="s">
        <v>814</v>
      </c>
      <c r="K132" s="5" t="s">
        <v>41</v>
      </c>
      <c r="L132" s="5" t="s">
        <v>815</v>
      </c>
      <c r="M132" s="5" t="s">
        <v>816</v>
      </c>
      <c r="N132" s="5" t="s">
        <v>817</v>
      </c>
      <c r="O132" s="5" t="s">
        <v>38</v>
      </c>
      <c r="P132" s="5" t="s">
        <v>164</v>
      </c>
      <c r="Q132" s="5" t="s">
        <v>818</v>
      </c>
      <c r="R132" s="4">
        <v>45911</v>
      </c>
      <c r="S132" s="4">
        <v>45486</v>
      </c>
      <c r="T132" s="5" t="str">
        <f>IF(AND(R132="", S132=""), "대기자", IF(AND(R132&lt;&gt;"", S132=""), "취업 중", IF(AND(R132="", S132&lt;&gt;""), "대기자", IF(R132=S132, "", IF(R132 &lt; S132, "대기자", "취업 중")))))</f>
        <v>취업 중</v>
      </c>
      <c r="U132" s="5" t="str">
        <f>IF(J132=""," ",IF(ISNUMBER(SEARCH("소형",J132)),"소형","대형"))</f>
        <v>대형</v>
      </c>
      <c r="V132" s="4">
        <v>40148</v>
      </c>
      <c r="W132" s="5"/>
      <c r="X132" s="5"/>
      <c r="Y132" s="5"/>
      <c r="Z132" s="13" t="s">
        <v>94</v>
      </c>
      <c r="AA132" s="13" t="s">
        <v>48</v>
      </c>
      <c r="AB132" s="13" t="s">
        <v>70</v>
      </c>
      <c r="AC132" s="13" t="s">
        <v>50</v>
      </c>
      <c r="AD132" s="13" t="s">
        <v>48</v>
      </c>
      <c r="AE132" s="15"/>
      <c r="AF132" s="15"/>
      <c r="AG132" s="15" t="s">
        <v>83</v>
      </c>
      <c r="AH132" s="15" t="s">
        <v>819</v>
      </c>
      <c r="AI132" s="6"/>
    </row>
    <row r="133" spans="1:35" ht="19.899999999999999" customHeight="1" x14ac:dyDescent="0.25">
      <c r="A133" s="5">
        <v>130</v>
      </c>
      <c r="B133" s="5" t="s">
        <v>33</v>
      </c>
      <c r="C133" s="5" t="s">
        <v>820</v>
      </c>
      <c r="D133" s="5" t="s">
        <v>35</v>
      </c>
      <c r="E133" s="5">
        <v>19740110</v>
      </c>
      <c r="F133" s="5" t="s">
        <v>36</v>
      </c>
      <c r="G133" s="5" t="s">
        <v>821</v>
      </c>
      <c r="H133" s="5" t="s">
        <v>38</v>
      </c>
      <c r="I133" s="5" t="s">
        <v>822</v>
      </c>
      <c r="J133" s="5" t="s">
        <v>59</v>
      </c>
      <c r="K133" s="5" t="s">
        <v>60</v>
      </c>
      <c r="L133" s="5" t="s">
        <v>61</v>
      </c>
      <c r="M133" s="5" t="s">
        <v>62</v>
      </c>
      <c r="N133" s="5" t="s">
        <v>63</v>
      </c>
      <c r="O133" s="5" t="s">
        <v>38</v>
      </c>
      <c r="P133" s="5" t="s">
        <v>64</v>
      </c>
      <c r="Q133" s="5" t="s">
        <v>65</v>
      </c>
      <c r="R133" s="4">
        <v>46245</v>
      </c>
      <c r="S133" s="4">
        <v>46130</v>
      </c>
      <c r="T133" s="5" t="str">
        <f>IF(AND(R133="", S133=""), "대기자", IF(AND(R133&lt;&gt;"", S133=""), "취업 중", IF(AND(R133="", S133&lt;&gt;""), "대기자", IF(R133=S133, "", IF(R133 &lt; S133, "대기자", "취업 중")))))</f>
        <v>취업 중</v>
      </c>
      <c r="U133" s="5" t="str">
        <f>IF(J133=""," ",IF(ISNUMBER(SEARCH("소형",J133)),"소형","대형"))</f>
        <v>대형</v>
      </c>
      <c r="V133" s="4">
        <v>41144</v>
      </c>
      <c r="W133" s="5"/>
      <c r="X133" s="5"/>
      <c r="Y133" s="5"/>
      <c r="Z133" s="13">
        <v>27</v>
      </c>
      <c r="AA133" s="13">
        <v>12</v>
      </c>
      <c r="AB133" s="13">
        <v>12</v>
      </c>
      <c r="AC133" s="13">
        <v>1</v>
      </c>
      <c r="AD133" s="13">
        <v>2</v>
      </c>
      <c r="AE133" s="14"/>
      <c r="AF133" s="14"/>
      <c r="AG133" s="14" t="s">
        <v>83</v>
      </c>
      <c r="AH133" s="14"/>
      <c r="AI133" s="6"/>
    </row>
    <row r="134" spans="1:35" ht="19.899999999999999" customHeight="1" x14ac:dyDescent="0.25">
      <c r="A134" s="5">
        <v>131</v>
      </c>
      <c r="B134" s="5" t="s">
        <v>33</v>
      </c>
      <c r="C134" s="5" t="s">
        <v>823</v>
      </c>
      <c r="D134" s="5" t="s">
        <v>67</v>
      </c>
      <c r="E134" s="5">
        <v>19590403</v>
      </c>
      <c r="F134" s="5" t="s">
        <v>36</v>
      </c>
      <c r="G134" s="5" t="s">
        <v>824</v>
      </c>
      <c r="H134" s="5" t="s">
        <v>38</v>
      </c>
      <c r="I134" s="5" t="s">
        <v>825</v>
      </c>
      <c r="J134" s="5" t="s">
        <v>826</v>
      </c>
      <c r="K134" s="5" t="s">
        <v>827</v>
      </c>
      <c r="L134" s="5" t="s">
        <v>828</v>
      </c>
      <c r="M134" s="5" t="s">
        <v>829</v>
      </c>
      <c r="N134" s="5" t="s">
        <v>830</v>
      </c>
      <c r="O134" s="5" t="s">
        <v>38</v>
      </c>
      <c r="P134" s="5" t="s">
        <v>215</v>
      </c>
      <c r="Q134" s="5" t="s">
        <v>831</v>
      </c>
      <c r="R134" s="4">
        <v>45633</v>
      </c>
      <c r="S134" s="4">
        <v>45317</v>
      </c>
      <c r="T134" s="5" t="str">
        <f>IF(AND(R134="", S134=""), "대기자", IF(AND(R134&lt;&gt;"", S134=""), "취업 중", IF(AND(R134="", S134&lt;&gt;""), "대기자", IF(R134=S134, "", IF(R134 &lt; S134, "대기자", "취업 중")))))</f>
        <v>취업 중</v>
      </c>
      <c r="U134" s="5" t="str">
        <f>IF(J134=""," ",IF(ISNUMBER(SEARCH("소형",J134)),"소형","대형"))</f>
        <v>대형</v>
      </c>
      <c r="V134" s="4">
        <v>39234</v>
      </c>
      <c r="W134" s="5"/>
      <c r="X134" s="5"/>
      <c r="Y134" s="5"/>
      <c r="Z134" s="13" t="s">
        <v>154</v>
      </c>
      <c r="AA134" s="13">
        <v>5</v>
      </c>
      <c r="AB134" s="13" t="s">
        <v>70</v>
      </c>
      <c r="AC134" s="13">
        <v>0</v>
      </c>
      <c r="AD134" s="13" t="s">
        <v>48</v>
      </c>
      <c r="AE134" s="15"/>
      <c r="AF134" s="15"/>
      <c r="AG134" s="15" t="s">
        <v>193</v>
      </c>
      <c r="AH134" s="15" t="s">
        <v>832</v>
      </c>
      <c r="AI134" s="6"/>
    </row>
    <row r="135" spans="1:35" ht="19.899999999999999" customHeight="1" x14ac:dyDescent="0.25">
      <c r="A135" s="5">
        <v>132</v>
      </c>
      <c r="B135" s="5" t="s">
        <v>33</v>
      </c>
      <c r="C135" s="5" t="s">
        <v>833</v>
      </c>
      <c r="D135" s="5" t="s">
        <v>35</v>
      </c>
      <c r="E135" s="5">
        <v>19760919</v>
      </c>
      <c r="F135" s="5" t="s">
        <v>36</v>
      </c>
      <c r="G135" s="5" t="s">
        <v>834</v>
      </c>
      <c r="H135" s="5" t="s">
        <v>38</v>
      </c>
      <c r="I135" s="5" t="s">
        <v>835</v>
      </c>
      <c r="J135" s="5" t="s">
        <v>494</v>
      </c>
      <c r="K135" s="5" t="s">
        <v>76</v>
      </c>
      <c r="L135" s="5" t="s">
        <v>836</v>
      </c>
      <c r="M135" s="5" t="s">
        <v>837</v>
      </c>
      <c r="N135" s="5" t="s">
        <v>838</v>
      </c>
      <c r="O135" s="5" t="s">
        <v>38</v>
      </c>
      <c r="P135" s="5" t="s">
        <v>64</v>
      </c>
      <c r="Q135" s="5" t="s">
        <v>839</v>
      </c>
      <c r="R135" s="4">
        <v>45832</v>
      </c>
      <c r="S135" s="4">
        <v>45435</v>
      </c>
      <c r="T135" s="5" t="str">
        <f>IF(AND(R135="", S135=""), "대기자", IF(AND(R135&lt;&gt;"", S135=""), "취업 중", IF(AND(R135="", S135&lt;&gt;""), "대기자", IF(R135=S135, "", IF(R135 &lt; S135, "대기자", "취업 중")))))</f>
        <v>취업 중</v>
      </c>
      <c r="U135" s="5" t="str">
        <f>IF(J135=""," ",IF(ISNUMBER(SEARCH("소형",J135)),"소형","대형"))</f>
        <v>대형</v>
      </c>
      <c r="V135" s="4">
        <v>42774</v>
      </c>
      <c r="W135" s="5"/>
      <c r="X135" s="5"/>
      <c r="Y135" s="5"/>
      <c r="Z135" s="13" t="s">
        <v>94</v>
      </c>
      <c r="AA135" s="13" t="s">
        <v>48</v>
      </c>
      <c r="AB135" s="13" t="s">
        <v>49</v>
      </c>
      <c r="AC135" s="13" t="s">
        <v>49</v>
      </c>
      <c r="AD135" s="13" t="s">
        <v>50</v>
      </c>
      <c r="AE135" s="14"/>
      <c r="AF135" s="14"/>
      <c r="AG135" s="14" t="s">
        <v>184</v>
      </c>
      <c r="AH135" s="14" t="s">
        <v>840</v>
      </c>
      <c r="AI135" s="6"/>
    </row>
    <row r="136" spans="1:35" ht="19.899999999999999" customHeight="1" x14ac:dyDescent="0.25">
      <c r="A136" s="5">
        <v>133</v>
      </c>
      <c r="B136" s="5" t="s">
        <v>33</v>
      </c>
      <c r="C136" s="5" t="s">
        <v>841</v>
      </c>
      <c r="D136" s="5" t="s">
        <v>285</v>
      </c>
      <c r="E136" s="5">
        <v>19660207</v>
      </c>
      <c r="F136" s="5" t="s">
        <v>36</v>
      </c>
      <c r="G136" s="5" t="s">
        <v>842</v>
      </c>
      <c r="H136" s="5" t="s">
        <v>38</v>
      </c>
      <c r="I136" s="5" t="s">
        <v>843</v>
      </c>
      <c r="J136" s="5"/>
      <c r="K136" s="5"/>
      <c r="L136" s="5"/>
      <c r="M136" s="5"/>
      <c r="N136" s="5"/>
      <c r="O136" s="5"/>
      <c r="P136" s="5"/>
      <c r="Q136" s="5"/>
      <c r="R136" s="4">
        <v>45247</v>
      </c>
      <c r="S136" s="4">
        <v>45829</v>
      </c>
      <c r="T136" s="5" t="str">
        <f>IF(AND(R136="", S136=""), "대기자", IF(AND(R136&lt;&gt;"", S136=""), "취업 중", IF(AND(R136="", S136&lt;&gt;""), "대기자", IF(R136=S136, "", IF(R136 &lt; S136, "대기자", "취업 중")))))</f>
        <v>대기자</v>
      </c>
      <c r="U136" s="5" t="str">
        <f>IF(J136=""," ",IF(ISNUMBER(SEARCH("소형",J136)),"소형","대형"))</f>
        <v xml:space="preserve"> </v>
      </c>
      <c r="V136" s="4">
        <v>39814</v>
      </c>
      <c r="W136" s="5"/>
      <c r="X136" s="5"/>
      <c r="Y136" s="5"/>
      <c r="Z136" s="13"/>
      <c r="AA136" s="13"/>
      <c r="AB136" s="13"/>
      <c r="AC136" s="13"/>
      <c r="AD136" s="13"/>
      <c r="AE136" s="15"/>
      <c r="AF136" s="15"/>
      <c r="AG136" s="15"/>
      <c r="AH136" s="15"/>
      <c r="AI136" s="6"/>
    </row>
    <row r="137" spans="1:35" ht="19.899999999999999" customHeight="1" x14ac:dyDescent="0.25">
      <c r="A137" s="5">
        <v>134</v>
      </c>
      <c r="B137" s="5" t="s">
        <v>33</v>
      </c>
      <c r="C137" s="5" t="s">
        <v>844</v>
      </c>
      <c r="D137" s="5" t="s">
        <v>72</v>
      </c>
      <c r="E137" s="5">
        <v>19760322</v>
      </c>
      <c r="F137" s="5" t="s">
        <v>36</v>
      </c>
      <c r="G137" s="5" t="s">
        <v>845</v>
      </c>
      <c r="H137" s="5" t="s">
        <v>38</v>
      </c>
      <c r="I137" s="5" t="s">
        <v>846</v>
      </c>
      <c r="J137" s="5" t="s">
        <v>59</v>
      </c>
      <c r="K137" s="5" t="s">
        <v>112</v>
      </c>
      <c r="L137" s="5" t="s">
        <v>113</v>
      </c>
      <c r="M137" s="5" t="s">
        <v>62</v>
      </c>
      <c r="N137" s="5" t="s">
        <v>63</v>
      </c>
      <c r="O137" s="5" t="s">
        <v>38</v>
      </c>
      <c r="P137" s="5" t="s">
        <v>64</v>
      </c>
      <c r="Q137" s="5" t="s">
        <v>65</v>
      </c>
      <c r="R137" s="4">
        <v>46085</v>
      </c>
      <c r="S137" s="4">
        <v>45663</v>
      </c>
      <c r="T137" s="5" t="str">
        <f>IF(AND(R137="", S137=""), "대기자", IF(AND(R137&lt;&gt;"", S137=""), "취업 중", IF(AND(R137="", S137&lt;&gt;""), "대기자", IF(R137=S137, "", IF(R137 &lt; S137, "대기자", "취업 중")))))</f>
        <v>취업 중</v>
      </c>
      <c r="U137" s="5" t="str">
        <f>IF(J137=""," ",IF(ISNUMBER(SEARCH("소형",J137)),"소형","대형"))</f>
        <v>대형</v>
      </c>
      <c r="V137" s="4">
        <v>42577</v>
      </c>
      <c r="W137" s="5"/>
      <c r="X137" s="5"/>
      <c r="Y137" s="5"/>
      <c r="Z137" s="13">
        <v>23</v>
      </c>
      <c r="AA137" s="13">
        <v>10</v>
      </c>
      <c r="AB137" s="13">
        <v>10</v>
      </c>
      <c r="AC137" s="13">
        <v>1</v>
      </c>
      <c r="AD137" s="13">
        <v>2</v>
      </c>
      <c r="AE137" s="14"/>
      <c r="AF137" s="14"/>
      <c r="AG137" s="14"/>
      <c r="AH137" s="14" t="s">
        <v>847</v>
      </c>
      <c r="AI137" s="6"/>
    </row>
    <row r="138" spans="1:35" ht="19.899999999999999" customHeight="1" x14ac:dyDescent="0.25">
      <c r="A138" s="5">
        <v>135</v>
      </c>
      <c r="B138" s="5" t="s">
        <v>33</v>
      </c>
      <c r="C138" s="5" t="s">
        <v>848</v>
      </c>
      <c r="D138" s="5" t="s">
        <v>179</v>
      </c>
      <c r="E138" s="5">
        <v>19710902</v>
      </c>
      <c r="F138" s="5" t="s">
        <v>36</v>
      </c>
      <c r="G138" s="5" t="s">
        <v>849</v>
      </c>
      <c r="H138" s="5" t="s">
        <v>38</v>
      </c>
      <c r="I138" s="5" t="s">
        <v>850</v>
      </c>
      <c r="J138" s="5"/>
      <c r="K138" s="5"/>
      <c r="L138" s="5"/>
      <c r="M138" s="5"/>
      <c r="N138" s="5"/>
      <c r="O138" s="5"/>
      <c r="P138" s="5"/>
      <c r="Q138" s="5"/>
      <c r="R138" s="4">
        <v>45533</v>
      </c>
      <c r="S138" s="4">
        <v>45850</v>
      </c>
      <c r="T138" s="5" t="str">
        <f>IF(AND(R138="", S138=""), "대기자", IF(AND(R138&lt;&gt;"", S138=""), "취업 중", IF(AND(R138="", S138&lt;&gt;""), "대기자", IF(R138=S138, "", IF(R138 &lt; S138, "대기자", "취업 중")))))</f>
        <v>대기자</v>
      </c>
      <c r="U138" s="5" t="str">
        <f>IF(J138=""," ",IF(ISNUMBER(SEARCH("소형",J138)),"소형","대형"))</f>
        <v xml:space="preserve"> </v>
      </c>
      <c r="V138" s="4">
        <v>40275</v>
      </c>
      <c r="W138" s="5"/>
      <c r="X138" s="5"/>
      <c r="Y138" s="5"/>
      <c r="Z138" s="13"/>
      <c r="AA138" s="13"/>
      <c r="AB138" s="13"/>
      <c r="AC138" s="13"/>
      <c r="AD138" s="13"/>
      <c r="AE138" s="15"/>
      <c r="AF138" s="15"/>
      <c r="AG138" s="15"/>
      <c r="AH138" s="15"/>
      <c r="AI138" s="6"/>
    </row>
    <row r="139" spans="1:35" ht="19.899999999999999" customHeight="1" x14ac:dyDescent="0.25">
      <c r="A139" s="5">
        <v>136</v>
      </c>
      <c r="B139" s="5" t="s">
        <v>33</v>
      </c>
      <c r="C139" s="5" t="s">
        <v>851</v>
      </c>
      <c r="D139" s="5" t="s">
        <v>56</v>
      </c>
      <c r="E139" s="5">
        <v>19821122</v>
      </c>
      <c r="F139" s="5" t="s">
        <v>36</v>
      </c>
      <c r="G139" s="5" t="s">
        <v>852</v>
      </c>
      <c r="H139" s="5" t="s">
        <v>38</v>
      </c>
      <c r="I139" s="5" t="s">
        <v>853</v>
      </c>
      <c r="J139" s="5" t="s">
        <v>75</v>
      </c>
      <c r="K139" s="5" t="s">
        <v>321</v>
      </c>
      <c r="L139" s="5" t="s">
        <v>854</v>
      </c>
      <c r="M139" s="5" t="s">
        <v>855</v>
      </c>
      <c r="N139" s="5" t="s">
        <v>856</v>
      </c>
      <c r="O139" s="5" t="s">
        <v>38</v>
      </c>
      <c r="P139" s="5" t="s">
        <v>402</v>
      </c>
      <c r="Q139" s="5" t="s">
        <v>857</v>
      </c>
      <c r="R139" s="4">
        <v>46048</v>
      </c>
      <c r="S139" s="4">
        <v>45486</v>
      </c>
      <c r="T139" s="5" t="str">
        <f>IF(AND(R139="", S139=""), "대기자", IF(AND(R139&lt;&gt;"", S139=""), "취업 중", IF(AND(R139="", S139&lt;&gt;""), "대기자", IF(R139=S139, "", IF(R139 &lt; S139, "대기자", "취업 중")))))</f>
        <v>취업 중</v>
      </c>
      <c r="U139" s="5" t="str">
        <f>IF(J139=""," ",IF(ISNUMBER(SEARCH("소형",J139)),"소형","대형"))</f>
        <v>대형</v>
      </c>
      <c r="V139" s="4">
        <v>42826</v>
      </c>
      <c r="W139" s="5"/>
      <c r="X139" s="5"/>
      <c r="Y139" s="5"/>
      <c r="Z139" s="13" t="s">
        <v>94</v>
      </c>
      <c r="AA139" s="13" t="s">
        <v>48</v>
      </c>
      <c r="AB139" s="13" t="s">
        <v>70</v>
      </c>
      <c r="AC139" s="13" t="s">
        <v>50</v>
      </c>
      <c r="AD139" s="13" t="s">
        <v>48</v>
      </c>
      <c r="AE139" s="14"/>
      <c r="AF139" s="14"/>
      <c r="AG139" s="14" t="s">
        <v>166</v>
      </c>
      <c r="AH139" s="14" t="s">
        <v>858</v>
      </c>
      <c r="AI139" s="6"/>
    </row>
    <row r="140" spans="1:35" ht="19.899999999999999" customHeight="1" x14ac:dyDescent="0.25">
      <c r="A140" s="5">
        <v>137</v>
      </c>
      <c r="B140" s="5" t="s">
        <v>33</v>
      </c>
      <c r="C140" s="5" t="s">
        <v>859</v>
      </c>
      <c r="D140" s="5" t="s">
        <v>72</v>
      </c>
      <c r="E140" s="5">
        <v>19770103</v>
      </c>
      <c r="F140" s="5" t="s">
        <v>36</v>
      </c>
      <c r="G140" s="5" t="s">
        <v>860</v>
      </c>
      <c r="H140" s="5" t="s">
        <v>38</v>
      </c>
      <c r="I140" s="5" t="s">
        <v>861</v>
      </c>
      <c r="J140" s="5" t="s">
        <v>814</v>
      </c>
      <c r="K140" s="5" t="s">
        <v>862</v>
      </c>
      <c r="L140" s="5" t="s">
        <v>863</v>
      </c>
      <c r="M140" s="5" t="s">
        <v>864</v>
      </c>
      <c r="N140" s="5" t="s">
        <v>864</v>
      </c>
      <c r="O140" s="5" t="s">
        <v>38</v>
      </c>
      <c r="P140" s="5" t="s">
        <v>865</v>
      </c>
      <c r="Q140" s="5" t="s">
        <v>866</v>
      </c>
      <c r="R140" s="4">
        <v>46002</v>
      </c>
      <c r="S140" s="4">
        <v>45541</v>
      </c>
      <c r="T140" s="5" t="str">
        <f>IF(AND(R140="", S140=""), "대기자", IF(AND(R140&lt;&gt;"", S140=""), "취업 중", IF(AND(R140="", S140&lt;&gt;""), "대기자", IF(R140=S140, "", IF(R140 &lt; S140, "대기자", "취업 중")))))</f>
        <v>취업 중</v>
      </c>
      <c r="U140" s="5" t="str">
        <f>IF(J140=""," ",IF(ISNUMBER(SEARCH("소형",J140)),"소형","대형"))</f>
        <v>대형</v>
      </c>
      <c r="V140" s="4">
        <v>41293</v>
      </c>
      <c r="W140" s="5"/>
      <c r="X140" s="5"/>
      <c r="Y140" s="5"/>
      <c r="Z140" s="13" t="s">
        <v>82</v>
      </c>
      <c r="AA140" s="13">
        <v>3</v>
      </c>
      <c r="AB140" s="13" t="s">
        <v>49</v>
      </c>
      <c r="AC140" s="13">
        <v>0</v>
      </c>
      <c r="AD140" s="13" t="s">
        <v>48</v>
      </c>
      <c r="AE140" s="15"/>
      <c r="AF140" s="15"/>
      <c r="AG140" s="15" t="s">
        <v>83</v>
      </c>
      <c r="AH140" s="15" t="s">
        <v>867</v>
      </c>
      <c r="AI140" s="6"/>
    </row>
    <row r="141" spans="1:35" ht="19.899999999999999" customHeight="1" x14ac:dyDescent="0.25">
      <c r="A141" s="5">
        <v>138</v>
      </c>
      <c r="B141" s="5" t="s">
        <v>33</v>
      </c>
      <c r="C141" s="5" t="s">
        <v>868</v>
      </c>
      <c r="D141" s="5" t="s">
        <v>56</v>
      </c>
      <c r="E141" s="5">
        <v>20030610</v>
      </c>
      <c r="F141" s="5" t="s">
        <v>36</v>
      </c>
      <c r="G141" s="5" t="s">
        <v>869</v>
      </c>
      <c r="H141" s="5" t="s">
        <v>298</v>
      </c>
      <c r="I141" s="5" t="s">
        <v>870</v>
      </c>
      <c r="J141" s="5" t="s">
        <v>102</v>
      </c>
      <c r="K141" s="5" t="s">
        <v>102</v>
      </c>
      <c r="L141" s="5" t="s">
        <v>871</v>
      </c>
      <c r="M141" s="5" t="s">
        <v>872</v>
      </c>
      <c r="N141" s="5" t="s">
        <v>873</v>
      </c>
      <c r="O141" s="5" t="s">
        <v>38</v>
      </c>
      <c r="P141" s="5" t="s">
        <v>92</v>
      </c>
      <c r="Q141" s="5" t="s">
        <v>874</v>
      </c>
      <c r="R141" s="4">
        <v>46095</v>
      </c>
      <c r="S141" s="4">
        <v>45871</v>
      </c>
      <c r="T141" s="5" t="str">
        <f>IF(AND(R141="", S141=""), "대기자", IF(AND(R141&lt;&gt;"", S141=""), "취업 중", IF(AND(R141="", S141&lt;&gt;""), "대기자", IF(R141=S141, "", IF(R141 &lt; S141, "대기자", "취업 중")))))</f>
        <v>취업 중</v>
      </c>
      <c r="U141" s="5" t="str">
        <f>IF(J141=""," ",IF(ISNUMBER(SEARCH("소형",J141)),"소형","대형"))</f>
        <v>소형</v>
      </c>
      <c r="V141" s="4">
        <v>45972</v>
      </c>
      <c r="W141" s="5"/>
      <c r="X141" s="5" t="s">
        <v>875</v>
      </c>
      <c r="Y141" s="5" t="s">
        <v>876</v>
      </c>
      <c r="Z141" s="13"/>
      <c r="AA141" s="13"/>
      <c r="AB141" s="13"/>
      <c r="AC141" s="13"/>
      <c r="AD141" s="13"/>
      <c r="AE141" s="14"/>
      <c r="AF141" s="14"/>
      <c r="AG141" s="14"/>
      <c r="AH141" s="14"/>
      <c r="AI141" s="6"/>
    </row>
    <row r="142" spans="1:35" ht="19.899999999999999" customHeight="1" x14ac:dyDescent="0.25">
      <c r="A142" s="5">
        <v>139</v>
      </c>
      <c r="B142" s="5" t="s">
        <v>33</v>
      </c>
      <c r="C142" s="5" t="s">
        <v>877</v>
      </c>
      <c r="D142" s="5" t="s">
        <v>67</v>
      </c>
      <c r="E142" s="5">
        <v>19780905</v>
      </c>
      <c r="F142" s="5" t="s">
        <v>36</v>
      </c>
      <c r="G142" s="5" t="s">
        <v>878</v>
      </c>
      <c r="H142" s="5" t="s">
        <v>38</v>
      </c>
      <c r="I142" s="5" t="s">
        <v>879</v>
      </c>
      <c r="J142" s="5" t="s">
        <v>880</v>
      </c>
      <c r="K142" s="5" t="s">
        <v>321</v>
      </c>
      <c r="L142" s="5" t="s">
        <v>881</v>
      </c>
      <c r="M142" s="5" t="s">
        <v>882</v>
      </c>
      <c r="N142" s="5" t="s">
        <v>883</v>
      </c>
      <c r="O142" s="5" t="s">
        <v>38</v>
      </c>
      <c r="P142" s="5" t="s">
        <v>512</v>
      </c>
      <c r="Q142" s="5" t="s">
        <v>884</v>
      </c>
      <c r="R142" s="4">
        <v>45803</v>
      </c>
      <c r="S142" s="4">
        <v>45381</v>
      </c>
      <c r="T142" s="5" t="str">
        <f>IF(AND(R142="", S142=""), "대기자", IF(AND(R142&lt;&gt;"", S142=""), "취업 중", IF(AND(R142="", S142&lt;&gt;""), "대기자", IF(R142=S142, "", IF(R142 &lt; S142, "대기자", "취업 중")))))</f>
        <v>취업 중</v>
      </c>
      <c r="U142" s="5" t="str">
        <f>IF(J142=""," ",IF(ISNUMBER(SEARCH("소형",J142)),"소형","대형"))</f>
        <v>대형</v>
      </c>
      <c r="V142" s="4">
        <v>45040</v>
      </c>
      <c r="W142" s="5"/>
      <c r="X142" s="5"/>
      <c r="Y142" s="5"/>
      <c r="Z142" s="13" t="s">
        <v>47</v>
      </c>
      <c r="AA142" s="13" t="s">
        <v>48</v>
      </c>
      <c r="AB142" s="13" t="s">
        <v>49</v>
      </c>
      <c r="AC142" s="13" t="s">
        <v>50</v>
      </c>
      <c r="AD142" s="13" t="s">
        <v>48</v>
      </c>
      <c r="AE142" s="15"/>
      <c r="AF142" s="15"/>
      <c r="AG142" s="15" t="s">
        <v>83</v>
      </c>
      <c r="AH142" s="15" t="s">
        <v>885</v>
      </c>
      <c r="AI142" s="6"/>
    </row>
    <row r="143" spans="1:35" ht="19.899999999999999" customHeight="1" x14ac:dyDescent="0.25">
      <c r="A143" s="5">
        <v>140</v>
      </c>
      <c r="B143" s="5" t="s">
        <v>33</v>
      </c>
      <c r="C143" s="5" t="s">
        <v>886</v>
      </c>
      <c r="D143" s="5" t="s">
        <v>35</v>
      </c>
      <c r="E143" s="5">
        <v>19930719</v>
      </c>
      <c r="F143" s="5" t="s">
        <v>36</v>
      </c>
      <c r="G143" s="5" t="s">
        <v>887</v>
      </c>
      <c r="H143" s="5" t="s">
        <v>38</v>
      </c>
      <c r="I143" s="5" t="s">
        <v>888</v>
      </c>
      <c r="J143" s="5" t="s">
        <v>307</v>
      </c>
      <c r="K143" s="5" t="s">
        <v>827</v>
      </c>
      <c r="L143" s="5" t="s">
        <v>889</v>
      </c>
      <c r="M143" s="5" t="s">
        <v>890</v>
      </c>
      <c r="N143" s="5" t="s">
        <v>891</v>
      </c>
      <c r="O143" s="5" t="s">
        <v>38</v>
      </c>
      <c r="P143" s="5" t="s">
        <v>45</v>
      </c>
      <c r="Q143" s="5" t="s">
        <v>892</v>
      </c>
      <c r="R143" s="4">
        <v>45727</v>
      </c>
      <c r="S143" s="4">
        <v>45315</v>
      </c>
      <c r="T143" s="5" t="str">
        <f>IF(AND(R143="", S143=""), "대기자", IF(AND(R143&lt;&gt;"", S143=""), "취업 중", IF(AND(R143="", S143&lt;&gt;""), "대기자", IF(R143=S143, "", IF(R143 &lt; S143, "대기자", "취업 중")))))</f>
        <v>취업 중</v>
      </c>
      <c r="U143" s="5" t="str">
        <f>IF(J143=""," ",IF(ISNUMBER(SEARCH("소형",J143)),"소형","대형"))</f>
        <v>대형</v>
      </c>
      <c r="V143" s="4">
        <v>42157</v>
      </c>
      <c r="W143" s="5"/>
      <c r="X143" s="5"/>
      <c r="Y143" s="5"/>
      <c r="Z143" s="13" t="s">
        <v>47</v>
      </c>
      <c r="AA143" s="13" t="s">
        <v>48</v>
      </c>
      <c r="AB143" s="13" t="s">
        <v>49</v>
      </c>
      <c r="AC143" s="13" t="s">
        <v>50</v>
      </c>
      <c r="AD143" s="13" t="s">
        <v>48</v>
      </c>
      <c r="AE143" s="14"/>
      <c r="AF143" s="14"/>
      <c r="AG143" s="14" t="s">
        <v>83</v>
      </c>
      <c r="AH143" s="14" t="s">
        <v>893</v>
      </c>
      <c r="AI143" s="6"/>
    </row>
    <row r="144" spans="1:35" ht="19.899999999999999" customHeight="1" x14ac:dyDescent="0.25">
      <c r="A144" s="5">
        <v>141</v>
      </c>
      <c r="B144" s="5" t="s">
        <v>33</v>
      </c>
      <c r="C144" s="5" t="s">
        <v>894</v>
      </c>
      <c r="D144" s="5" t="s">
        <v>179</v>
      </c>
      <c r="E144" s="5">
        <v>19810901</v>
      </c>
      <c r="F144" s="5" t="s">
        <v>36</v>
      </c>
      <c r="G144" s="5" t="s">
        <v>895</v>
      </c>
      <c r="H144" s="5" t="s">
        <v>38</v>
      </c>
      <c r="I144" s="5" t="s">
        <v>896</v>
      </c>
      <c r="J144" s="5"/>
      <c r="K144" s="5"/>
      <c r="L144" s="5"/>
      <c r="M144" s="5"/>
      <c r="N144" s="5"/>
      <c r="O144" s="5"/>
      <c r="P144" s="5"/>
      <c r="Q144" s="5"/>
      <c r="R144" s="4">
        <v>45859</v>
      </c>
      <c r="S144" s="4">
        <v>46253</v>
      </c>
      <c r="T144" s="5" t="str">
        <f>IF(AND(R144="", S144=""), "대기자", IF(AND(R144&lt;&gt;"", S144=""), "취업 중", IF(AND(R144="", S144&lt;&gt;""), "대기자", IF(R144=S144, "", IF(R144 &lt; S144, "대기자", "취업 중")))))</f>
        <v>대기자</v>
      </c>
      <c r="U144" s="5" t="str">
        <f>IF(J144=""," ",IF(ISNUMBER(SEARCH("소형",J144)),"소형","대형"))</f>
        <v xml:space="preserve"> </v>
      </c>
      <c r="V144" s="4">
        <v>45627</v>
      </c>
      <c r="W144" s="5"/>
      <c r="X144" s="5"/>
      <c r="Y144" s="5"/>
      <c r="Z144" s="13"/>
      <c r="AA144" s="13"/>
      <c r="AB144" s="13"/>
      <c r="AC144" s="13"/>
      <c r="AD144" s="13"/>
      <c r="AE144" s="15"/>
      <c r="AF144" s="15"/>
      <c r="AG144" s="15"/>
      <c r="AH144" s="15"/>
      <c r="AI144" s="6"/>
    </row>
    <row r="145" spans="1:35" ht="19.899999999999999" customHeight="1" x14ac:dyDescent="0.25">
      <c r="A145" s="5">
        <v>142</v>
      </c>
      <c r="B145" s="5" t="s">
        <v>33</v>
      </c>
      <c r="C145" s="5" t="s">
        <v>897</v>
      </c>
      <c r="D145" s="5" t="s">
        <v>144</v>
      </c>
      <c r="E145" s="5">
        <v>19641205</v>
      </c>
      <c r="F145" s="5" t="s">
        <v>36</v>
      </c>
      <c r="G145" s="5" t="s">
        <v>898</v>
      </c>
      <c r="H145" s="5" t="s">
        <v>38</v>
      </c>
      <c r="I145" s="5" t="s">
        <v>899</v>
      </c>
      <c r="J145" s="5"/>
      <c r="K145" s="5"/>
      <c r="L145" s="5"/>
      <c r="M145" s="5"/>
      <c r="N145" s="5"/>
      <c r="O145" s="5"/>
      <c r="P145" s="5"/>
      <c r="Q145" s="5"/>
      <c r="R145" s="4">
        <v>45041</v>
      </c>
      <c r="S145" s="4">
        <v>45603</v>
      </c>
      <c r="T145" s="5" t="str">
        <f>IF(AND(R145="", S145=""), "대기자", IF(AND(R145&lt;&gt;"", S145=""), "취업 중", IF(AND(R145="", S145&lt;&gt;""), "대기자", IF(R145=S145, "", IF(R145 &lt; S145, "대기자", "취업 중")))))</f>
        <v>대기자</v>
      </c>
      <c r="U145" s="5" t="str">
        <f>IF(J145=""," ",IF(ISNUMBER(SEARCH("소형",J145)),"소형","대형"))</f>
        <v xml:space="preserve"> </v>
      </c>
      <c r="V145" s="4">
        <v>42520</v>
      </c>
      <c r="W145" s="5"/>
      <c r="X145" s="5"/>
      <c r="Y145" s="5"/>
      <c r="Z145" s="13"/>
      <c r="AA145" s="13"/>
      <c r="AB145" s="13"/>
      <c r="AC145" s="13"/>
      <c r="AD145" s="13"/>
      <c r="AE145" s="14"/>
      <c r="AF145" s="14"/>
      <c r="AG145" s="14"/>
      <c r="AH145" s="14"/>
      <c r="AI145" s="6"/>
    </row>
    <row r="146" spans="1:35" ht="19.899999999999999" customHeight="1" x14ac:dyDescent="0.25">
      <c r="A146" s="5">
        <v>143</v>
      </c>
      <c r="B146" s="5" t="s">
        <v>33</v>
      </c>
      <c r="C146" s="5" t="s">
        <v>900</v>
      </c>
      <c r="D146" s="5" t="s">
        <v>285</v>
      </c>
      <c r="E146" s="5">
        <v>19701112</v>
      </c>
      <c r="F146" s="5" t="s">
        <v>52</v>
      </c>
      <c r="G146" s="5" t="s">
        <v>901</v>
      </c>
      <c r="H146" s="5" t="s">
        <v>278</v>
      </c>
      <c r="I146" s="5" t="s">
        <v>902</v>
      </c>
      <c r="J146" s="5" t="s">
        <v>307</v>
      </c>
      <c r="K146" s="5" t="s">
        <v>308</v>
      </c>
      <c r="L146" s="5" t="s">
        <v>309</v>
      </c>
      <c r="M146" s="5" t="s">
        <v>310</v>
      </c>
      <c r="N146" s="5" t="s">
        <v>311</v>
      </c>
      <c r="O146" s="5" t="s">
        <v>38</v>
      </c>
      <c r="P146" s="5" t="s">
        <v>45</v>
      </c>
      <c r="Q146" s="5" t="s">
        <v>312</v>
      </c>
      <c r="R146" s="4">
        <v>45954</v>
      </c>
      <c r="S146" s="4">
        <v>45472</v>
      </c>
      <c r="T146" s="5" t="str">
        <f>IF(AND(R146="", S146=""), "대기자", IF(AND(R146&lt;&gt;"", S146=""), "취업 중", IF(AND(R146="", S146&lt;&gt;""), "대기자", IF(R146=S146, "", IF(R146 &lt; S146, "대기자", "취업 중")))))</f>
        <v>취업 중</v>
      </c>
      <c r="U146" s="5" t="str">
        <f>IF(J146=""," ",IF(ISNUMBER(SEARCH("소형",J146)),"소형","대형"))</f>
        <v>대형</v>
      </c>
      <c r="V146" s="4">
        <v>42552</v>
      </c>
      <c r="W146" s="5"/>
      <c r="X146" s="5"/>
      <c r="Y146" s="5"/>
      <c r="Z146" s="13" t="s">
        <v>167</v>
      </c>
      <c r="AA146" s="13" t="s">
        <v>49</v>
      </c>
      <c r="AB146" s="13" t="s">
        <v>70</v>
      </c>
      <c r="AC146" s="13" t="s">
        <v>48</v>
      </c>
      <c r="AD146" s="13" t="s">
        <v>47</v>
      </c>
      <c r="AE146" s="15"/>
      <c r="AF146" s="15"/>
      <c r="AG146" s="15" t="s">
        <v>83</v>
      </c>
      <c r="AH146" s="15" t="s">
        <v>903</v>
      </c>
      <c r="AI146" s="6"/>
    </row>
    <row r="147" spans="1:35" ht="19.899999999999999" customHeight="1" x14ac:dyDescent="0.25">
      <c r="A147" s="5">
        <v>144</v>
      </c>
      <c r="B147" s="5" t="s">
        <v>33</v>
      </c>
      <c r="C147" s="5" t="s">
        <v>904</v>
      </c>
      <c r="D147" s="5" t="s">
        <v>72</v>
      </c>
      <c r="E147" s="5">
        <v>19720210</v>
      </c>
      <c r="F147" s="5" t="s">
        <v>36</v>
      </c>
      <c r="G147" s="5" t="s">
        <v>905</v>
      </c>
      <c r="H147" s="5" t="s">
        <v>38</v>
      </c>
      <c r="I147" s="5" t="s">
        <v>906</v>
      </c>
      <c r="J147" s="5" t="s">
        <v>59</v>
      </c>
      <c r="K147" s="5" t="s">
        <v>112</v>
      </c>
      <c r="L147" s="5" t="s">
        <v>592</v>
      </c>
      <c r="M147" s="5" t="s">
        <v>62</v>
      </c>
      <c r="N147" s="5" t="s">
        <v>63</v>
      </c>
      <c r="O147" s="5" t="s">
        <v>38</v>
      </c>
      <c r="P147" s="5" t="s">
        <v>512</v>
      </c>
      <c r="Q147" s="5" t="s">
        <v>593</v>
      </c>
      <c r="R147" s="4">
        <v>46245</v>
      </c>
      <c r="S147" s="4">
        <v>46132</v>
      </c>
      <c r="T147" s="5" t="str">
        <f>IF(AND(R147="", S147=""), "대기자", IF(AND(R147&lt;&gt;"", S147=""), "취업 중", IF(AND(R147="", S147&lt;&gt;""), "대기자", IF(R147=S147, "", IF(R147 &lt; S147, "대기자", "취업 중")))))</f>
        <v>취업 중</v>
      </c>
      <c r="U147" s="5" t="str">
        <f>IF(J147=""," ",IF(ISNUMBER(SEARCH("소형",J147)),"소형","대형"))</f>
        <v>대형</v>
      </c>
      <c r="V147" s="4">
        <v>38838</v>
      </c>
      <c r="W147" s="5"/>
      <c r="X147" s="5"/>
      <c r="Y147" s="5"/>
      <c r="Z147" s="13">
        <v>3</v>
      </c>
      <c r="AA147" s="13">
        <v>2</v>
      </c>
      <c r="AB147" s="13">
        <v>1</v>
      </c>
      <c r="AC147" s="13">
        <v>0</v>
      </c>
      <c r="AD147" s="13">
        <v>0</v>
      </c>
      <c r="AE147" s="14"/>
      <c r="AF147" s="14"/>
      <c r="AG147" s="14" t="s">
        <v>83</v>
      </c>
      <c r="AH147" s="14"/>
      <c r="AI147" s="6"/>
    </row>
    <row r="148" spans="1:35" ht="19.899999999999999" customHeight="1" x14ac:dyDescent="0.25">
      <c r="A148" s="5">
        <v>145</v>
      </c>
      <c r="B148" s="5" t="s">
        <v>33</v>
      </c>
      <c r="C148" s="5" t="s">
        <v>907</v>
      </c>
      <c r="D148" s="5" t="s">
        <v>285</v>
      </c>
      <c r="E148" s="5">
        <v>19950411</v>
      </c>
      <c r="F148" s="5" t="s">
        <v>36</v>
      </c>
      <c r="G148" s="5" t="s">
        <v>908</v>
      </c>
      <c r="H148" s="5" t="s">
        <v>38</v>
      </c>
      <c r="I148" s="5" t="s">
        <v>909</v>
      </c>
      <c r="J148" s="5"/>
      <c r="K148" s="5"/>
      <c r="L148" s="5"/>
      <c r="M148" s="5"/>
      <c r="N148" s="5"/>
      <c r="O148" s="5"/>
      <c r="P148" s="5"/>
      <c r="Q148" s="5"/>
      <c r="R148" s="4">
        <v>45597</v>
      </c>
      <c r="S148" s="4">
        <v>45836</v>
      </c>
      <c r="T148" s="5" t="str">
        <f>IF(AND(R148="", S148=""), "대기자", IF(AND(R148&lt;&gt;"", S148=""), "취업 중", IF(AND(R148="", S148&lt;&gt;""), "대기자", IF(R148=S148, "", IF(R148 &lt; S148, "대기자", "취업 중")))))</f>
        <v>대기자</v>
      </c>
      <c r="U148" s="5" t="str">
        <f>IF(J148=""," ",IF(ISNUMBER(SEARCH("소형",J148)),"소형","대형"))</f>
        <v xml:space="preserve"> </v>
      </c>
      <c r="V148" s="4">
        <v>44564</v>
      </c>
      <c r="W148" s="5"/>
      <c r="X148" s="5"/>
      <c r="Y148" s="5"/>
      <c r="Z148" s="13"/>
      <c r="AA148" s="13"/>
      <c r="AB148" s="13"/>
      <c r="AC148" s="13"/>
      <c r="AD148" s="13"/>
      <c r="AE148" s="15"/>
      <c r="AF148" s="15"/>
      <c r="AG148" s="15"/>
      <c r="AH148" s="15"/>
      <c r="AI148" s="6"/>
    </row>
    <row r="149" spans="1:35" ht="19.899999999999999" customHeight="1" x14ac:dyDescent="0.25">
      <c r="A149" s="5">
        <v>146</v>
      </c>
      <c r="B149" s="5" t="s">
        <v>33</v>
      </c>
      <c r="C149" s="5" t="s">
        <v>910</v>
      </c>
      <c r="D149" s="5" t="s">
        <v>144</v>
      </c>
      <c r="E149" s="5">
        <v>19790630</v>
      </c>
      <c r="F149" s="5" t="s">
        <v>36</v>
      </c>
      <c r="G149" s="5" t="s">
        <v>911</v>
      </c>
      <c r="H149" s="5" t="s">
        <v>38</v>
      </c>
      <c r="I149" s="5" t="s">
        <v>912</v>
      </c>
      <c r="J149" s="5"/>
      <c r="K149" s="5"/>
      <c r="L149" s="5"/>
      <c r="M149" s="5"/>
      <c r="N149" s="5"/>
      <c r="O149" s="5"/>
      <c r="P149" s="5"/>
      <c r="Q149" s="5"/>
      <c r="R149" s="4">
        <v>45131</v>
      </c>
      <c r="S149" s="4">
        <v>45596</v>
      </c>
      <c r="T149" s="5" t="str">
        <f>IF(AND(R149="", S149=""), "대기자", IF(AND(R149&lt;&gt;"", S149=""), "취업 중", IF(AND(R149="", S149&lt;&gt;""), "대기자", IF(R149=S149, "", IF(R149 &lt; S149, "대기자", "취업 중")))))</f>
        <v>대기자</v>
      </c>
      <c r="U149" s="5" t="str">
        <f>IF(J149=""," ",IF(ISNUMBER(SEARCH("소형",J149)),"소형","대형"))</f>
        <v xml:space="preserve"> </v>
      </c>
      <c r="V149" s="4">
        <v>41827</v>
      </c>
      <c r="W149" s="5"/>
      <c r="X149" s="5"/>
      <c r="Y149" s="5"/>
      <c r="Z149" s="13"/>
      <c r="AA149" s="13"/>
      <c r="AB149" s="13"/>
      <c r="AC149" s="13"/>
      <c r="AD149" s="13"/>
      <c r="AE149" s="14"/>
      <c r="AF149" s="14"/>
      <c r="AG149" s="14"/>
      <c r="AH149" s="14"/>
      <c r="AI149" s="6"/>
    </row>
    <row r="150" spans="1:35" ht="19.899999999999999" customHeight="1" x14ac:dyDescent="0.25">
      <c r="A150" s="5">
        <v>147</v>
      </c>
      <c r="B150" s="5" t="s">
        <v>33</v>
      </c>
      <c r="C150" s="5" t="s">
        <v>913</v>
      </c>
      <c r="D150" s="5" t="s">
        <v>99</v>
      </c>
      <c r="E150" s="5">
        <v>19820121</v>
      </c>
      <c r="F150" s="5" t="s">
        <v>36</v>
      </c>
      <c r="G150" s="5" t="s">
        <v>914</v>
      </c>
      <c r="H150" s="5" t="s">
        <v>38</v>
      </c>
      <c r="I150" s="5" t="s">
        <v>915</v>
      </c>
      <c r="J150" s="5" t="s">
        <v>408</v>
      </c>
      <c r="K150" s="5" t="s">
        <v>916</v>
      </c>
      <c r="L150" s="5" t="s">
        <v>917</v>
      </c>
      <c r="M150" s="5" t="s">
        <v>918</v>
      </c>
      <c r="N150" s="5" t="s">
        <v>919</v>
      </c>
      <c r="O150" s="5" t="s">
        <v>38</v>
      </c>
      <c r="P150" s="5" t="s">
        <v>80</v>
      </c>
      <c r="Q150" s="5" t="s">
        <v>920</v>
      </c>
      <c r="R150" s="4">
        <v>45979</v>
      </c>
      <c r="S150" s="4">
        <v>45741</v>
      </c>
      <c r="T150" s="5" t="str">
        <f>IF(AND(R150="", S150=""), "대기자", IF(AND(R150&lt;&gt;"", S150=""), "취업 중", IF(AND(R150="", S150&lt;&gt;""), "대기자", IF(R150=S150, "", IF(R150 &lt; S150, "대기자", "취업 중")))))</f>
        <v>취업 중</v>
      </c>
      <c r="U150" s="5" t="str">
        <f>IF(J150=""," ",IF(ISNUMBER(SEARCH("소형",J150)),"소형","대형"))</f>
        <v>대형</v>
      </c>
      <c r="V150" s="4">
        <v>42975</v>
      </c>
      <c r="W150" s="5"/>
      <c r="X150" s="5"/>
      <c r="Y150" s="5"/>
      <c r="Z150" s="13" t="s">
        <v>123</v>
      </c>
      <c r="AA150" s="13" t="s">
        <v>49</v>
      </c>
      <c r="AB150" s="13" t="s">
        <v>47</v>
      </c>
      <c r="AC150" s="13" t="s">
        <v>50</v>
      </c>
      <c r="AD150" s="13" t="s">
        <v>49</v>
      </c>
      <c r="AE150" s="15"/>
      <c r="AF150" s="15"/>
      <c r="AG150" s="15" t="s">
        <v>155</v>
      </c>
      <c r="AH150" s="15" t="s">
        <v>921</v>
      </c>
      <c r="AI150" s="6"/>
    </row>
    <row r="151" spans="1:35" ht="19.899999999999999" customHeight="1" x14ac:dyDescent="0.25">
      <c r="A151" s="5">
        <v>148</v>
      </c>
      <c r="B151" s="5" t="s">
        <v>33</v>
      </c>
      <c r="C151" s="5" t="s">
        <v>922</v>
      </c>
      <c r="D151" s="5" t="s">
        <v>179</v>
      </c>
      <c r="E151" s="5">
        <v>19930115</v>
      </c>
      <c r="F151" s="5" t="s">
        <v>36</v>
      </c>
      <c r="G151" s="5" t="s">
        <v>923</v>
      </c>
      <c r="H151" s="5" t="s">
        <v>38</v>
      </c>
      <c r="I151" s="5" t="s">
        <v>924</v>
      </c>
      <c r="J151" s="5" t="s">
        <v>59</v>
      </c>
      <c r="K151" s="5" t="s">
        <v>112</v>
      </c>
      <c r="L151" s="5" t="s">
        <v>113</v>
      </c>
      <c r="M151" s="5" t="s">
        <v>62</v>
      </c>
      <c r="N151" s="5" t="s">
        <v>63</v>
      </c>
      <c r="O151" s="5" t="s">
        <v>38</v>
      </c>
      <c r="P151" s="5" t="s">
        <v>64</v>
      </c>
      <c r="Q151" s="5" t="s">
        <v>65</v>
      </c>
      <c r="R151" s="4">
        <v>46148</v>
      </c>
      <c r="S151" s="4">
        <v>45983</v>
      </c>
      <c r="T151" s="5" t="str">
        <f>IF(AND(R151="", S151=""), "대기자", IF(AND(R151&lt;&gt;"", S151=""), "취업 중", IF(AND(R151="", S151&lt;&gt;""), "대기자", IF(R151=S151, "", IF(R151 &lt; S151, "대기자", "취업 중")))))</f>
        <v>취업 중</v>
      </c>
      <c r="U151" s="5" t="str">
        <f>IF(J151=""," ",IF(ISNUMBER(SEARCH("소형",J151)),"소형","대형"))</f>
        <v>대형</v>
      </c>
      <c r="V151" s="4">
        <v>42975</v>
      </c>
      <c r="W151" s="5"/>
      <c r="X151" s="5"/>
      <c r="Y151" s="5"/>
      <c r="Z151" s="13">
        <v>23</v>
      </c>
      <c r="AA151" s="13">
        <v>10</v>
      </c>
      <c r="AB151" s="13">
        <v>10</v>
      </c>
      <c r="AC151" s="13">
        <v>1</v>
      </c>
      <c r="AD151" s="13">
        <v>2</v>
      </c>
      <c r="AE151" s="14"/>
      <c r="AF151" s="14"/>
      <c r="AG151" s="14"/>
      <c r="AH151" s="14" t="s">
        <v>925</v>
      </c>
      <c r="AI151" s="6"/>
    </row>
    <row r="152" spans="1:35" ht="19.899999999999999" customHeight="1" x14ac:dyDescent="0.25">
      <c r="A152" s="5">
        <v>149</v>
      </c>
      <c r="B152" s="5" t="s">
        <v>33</v>
      </c>
      <c r="C152" s="5" t="s">
        <v>926</v>
      </c>
      <c r="D152" s="5" t="s">
        <v>144</v>
      </c>
      <c r="E152" s="5">
        <v>19910821</v>
      </c>
      <c r="F152" s="5" t="s">
        <v>36</v>
      </c>
      <c r="G152" s="5" t="s">
        <v>927</v>
      </c>
      <c r="H152" s="5" t="s">
        <v>38</v>
      </c>
      <c r="I152" s="5" t="s">
        <v>928</v>
      </c>
      <c r="J152" s="5" t="s">
        <v>102</v>
      </c>
      <c r="K152" s="5" t="s">
        <v>102</v>
      </c>
      <c r="L152" s="5" t="s">
        <v>929</v>
      </c>
      <c r="M152" s="5" t="s">
        <v>930</v>
      </c>
      <c r="N152" s="5" t="s">
        <v>931</v>
      </c>
      <c r="O152" s="5" t="s">
        <v>38</v>
      </c>
      <c r="P152" s="5" t="s">
        <v>635</v>
      </c>
      <c r="Q152" s="5" t="s">
        <v>932</v>
      </c>
      <c r="R152" s="4">
        <v>46177</v>
      </c>
      <c r="S152" s="4">
        <v>45931</v>
      </c>
      <c r="T152" s="5" t="str">
        <f>IF(AND(R152="", S152=""), "대기자", IF(AND(R152&lt;&gt;"", S152=""), "취업 중", IF(AND(R152="", S152&lt;&gt;""), "대기자", IF(R152=S152, "", IF(R152 &lt; S152, "대기자", "취업 중")))))</f>
        <v>취업 중</v>
      </c>
      <c r="U152" s="5" t="str">
        <f>IF(J152=""," ",IF(ISNUMBER(SEARCH("소형",J152)),"소형","대형"))</f>
        <v>소형</v>
      </c>
      <c r="V152" s="4">
        <v>45627</v>
      </c>
      <c r="W152" s="5"/>
      <c r="X152" s="5" t="s">
        <v>482</v>
      </c>
      <c r="Y152" s="5" t="s">
        <v>933</v>
      </c>
      <c r="Z152" s="13"/>
      <c r="AA152" s="13"/>
      <c r="AB152" s="13"/>
      <c r="AC152" s="13"/>
      <c r="AD152" s="13"/>
      <c r="AE152" s="15"/>
      <c r="AF152" s="15"/>
      <c r="AG152" s="15"/>
      <c r="AH152" s="15"/>
      <c r="AI152" s="6"/>
    </row>
    <row r="153" spans="1:35" ht="19.899999999999999" customHeight="1" x14ac:dyDescent="0.25">
      <c r="A153" s="5">
        <v>150</v>
      </c>
      <c r="B153" s="5" t="s">
        <v>33</v>
      </c>
      <c r="C153" s="5" t="s">
        <v>934</v>
      </c>
      <c r="D153" s="5" t="s">
        <v>35</v>
      </c>
      <c r="E153" s="5">
        <v>19720926</v>
      </c>
      <c r="F153" s="5" t="s">
        <v>36</v>
      </c>
      <c r="G153" s="5" t="s">
        <v>935</v>
      </c>
      <c r="H153" s="5" t="s">
        <v>38</v>
      </c>
      <c r="I153" s="5" t="s">
        <v>936</v>
      </c>
      <c r="J153" s="6" t="s">
        <v>147</v>
      </c>
      <c r="K153" s="5" t="s">
        <v>148</v>
      </c>
      <c r="L153" s="5" t="s">
        <v>149</v>
      </c>
      <c r="M153" s="5" t="s">
        <v>150</v>
      </c>
      <c r="N153" s="5" t="s">
        <v>151</v>
      </c>
      <c r="O153" s="5" t="s">
        <v>38</v>
      </c>
      <c r="P153" s="5" t="s">
        <v>152</v>
      </c>
      <c r="Q153" s="5" t="s">
        <v>153</v>
      </c>
      <c r="R153" s="4">
        <v>45911</v>
      </c>
      <c r="S153" s="4">
        <v>45838</v>
      </c>
      <c r="T153" s="5" t="str">
        <f>IF(AND(R153="", S153=""), "대기자", IF(AND(R153&lt;&gt;"", S153=""), "취업 중", IF(AND(R153="", S153&lt;&gt;""), "대기자", IF(R153=S153, "", IF(R153 &lt; S153, "대기자", "취업 중")))))</f>
        <v>취업 중</v>
      </c>
      <c r="U153" s="5" t="str">
        <f>IF(J153=""," ",IF(ISNUMBER(SEARCH("소형",J153)),"소형","대형"))</f>
        <v>대형</v>
      </c>
      <c r="V153" s="4">
        <v>38718</v>
      </c>
      <c r="W153" s="5"/>
      <c r="X153" s="5"/>
      <c r="Y153" s="5"/>
      <c r="Z153" s="13" t="s">
        <v>154</v>
      </c>
      <c r="AA153" s="13" t="s">
        <v>70</v>
      </c>
      <c r="AB153" s="13" t="s">
        <v>47</v>
      </c>
      <c r="AC153" s="13" t="s">
        <v>48</v>
      </c>
      <c r="AD153" s="13" t="s">
        <v>48</v>
      </c>
      <c r="AE153" s="14"/>
      <c r="AF153" s="14"/>
      <c r="AG153" s="14" t="s">
        <v>117</v>
      </c>
      <c r="AH153" s="14" t="s">
        <v>937</v>
      </c>
      <c r="AI153" s="6"/>
    </row>
    <row r="154" spans="1:35" ht="19.899999999999999" customHeight="1" x14ac:dyDescent="0.25">
      <c r="A154" s="5">
        <v>151</v>
      </c>
      <c r="B154" s="5" t="s">
        <v>33</v>
      </c>
      <c r="C154" s="5" t="s">
        <v>938</v>
      </c>
      <c r="D154" s="5" t="s">
        <v>35</v>
      </c>
      <c r="E154" s="5">
        <v>20000303</v>
      </c>
      <c r="F154" s="5" t="s">
        <v>36</v>
      </c>
      <c r="G154" s="5" t="s">
        <v>939</v>
      </c>
      <c r="H154" s="5" t="s">
        <v>38</v>
      </c>
      <c r="I154" s="5" t="s">
        <v>940</v>
      </c>
      <c r="J154" s="5"/>
      <c r="K154" s="5"/>
      <c r="L154" s="5"/>
      <c r="M154" s="5"/>
      <c r="N154" s="5"/>
      <c r="O154" s="5"/>
      <c r="P154" s="5"/>
      <c r="Q154" s="5"/>
      <c r="R154" s="4">
        <v>45562</v>
      </c>
      <c r="S154" s="4">
        <v>45968</v>
      </c>
      <c r="T154" s="5" t="str">
        <f>IF(AND(R154="", S154=""), "대기자", IF(AND(R154&lt;&gt;"", S154=""), "취업 중", IF(AND(R154="", S154&lt;&gt;""), "대기자", IF(R154=S154, "", IF(R154 &lt; S154, "대기자", "취업 중")))))</f>
        <v>대기자</v>
      </c>
      <c r="U154" s="5" t="str">
        <f>IF(J154=""," ",IF(ISNUMBER(SEARCH("소형",J154)),"소형","대형"))</f>
        <v xml:space="preserve"> </v>
      </c>
      <c r="V154" s="4">
        <v>45627</v>
      </c>
      <c r="W154" s="5"/>
      <c r="X154" s="5"/>
      <c r="Y154" s="5"/>
      <c r="Z154" s="13"/>
      <c r="AA154" s="13"/>
      <c r="AB154" s="13"/>
      <c r="AC154" s="13"/>
      <c r="AD154" s="13"/>
      <c r="AE154" s="15"/>
      <c r="AF154" s="15"/>
      <c r="AG154" s="15"/>
      <c r="AH154" s="15"/>
      <c r="AI154" s="6"/>
    </row>
    <row r="155" spans="1:35" ht="19.899999999999999" customHeight="1" x14ac:dyDescent="0.25">
      <c r="A155" s="5">
        <v>152</v>
      </c>
      <c r="B155" s="5" t="s">
        <v>33</v>
      </c>
      <c r="C155" s="5" t="s">
        <v>941</v>
      </c>
      <c r="D155" s="5" t="s">
        <v>67</v>
      </c>
      <c r="E155" s="5">
        <v>20001111</v>
      </c>
      <c r="F155" s="5" t="s">
        <v>36</v>
      </c>
      <c r="G155" s="5" t="s">
        <v>942</v>
      </c>
      <c r="H155" s="5" t="s">
        <v>38</v>
      </c>
      <c r="I155" s="5" t="s">
        <v>943</v>
      </c>
      <c r="J155" s="5" t="s">
        <v>59</v>
      </c>
      <c r="K155" s="5" t="s">
        <v>60</v>
      </c>
      <c r="L155" s="5" t="s">
        <v>944</v>
      </c>
      <c r="M155" s="5" t="s">
        <v>945</v>
      </c>
      <c r="N155" s="5" t="s">
        <v>946</v>
      </c>
      <c r="O155" s="5" t="s">
        <v>38</v>
      </c>
      <c r="P155" s="5" t="s">
        <v>132</v>
      </c>
      <c r="Q155" s="5" t="s">
        <v>947</v>
      </c>
      <c r="R155" s="4">
        <v>46279</v>
      </c>
      <c r="S155" s="4">
        <v>46142</v>
      </c>
      <c r="T155" s="5" t="str">
        <f>IF(AND(R155="", S155=""), "대기자", IF(AND(R155&lt;&gt;"", S155=""), "취업 중", IF(AND(R155="", S155&lt;&gt;""), "대기자", IF(R155=S155, "", IF(R155 &lt; S155, "대기자", "취업 중")))))</f>
        <v>취업 중</v>
      </c>
      <c r="U155" s="5" t="str">
        <f>IF(J155=""," ",IF(ISNUMBER(SEARCH("소형",J155)),"소형","대형"))</f>
        <v>대형</v>
      </c>
      <c r="V155" s="4">
        <v>45627</v>
      </c>
      <c r="W155" s="5"/>
      <c r="X155" s="5"/>
      <c r="Y155" s="5"/>
      <c r="Z155" s="18"/>
      <c r="AA155" s="18"/>
      <c r="AB155" s="18"/>
      <c r="AC155" s="18"/>
      <c r="AD155" s="18"/>
      <c r="AE155" s="14"/>
      <c r="AF155" s="14"/>
      <c r="AG155" s="14"/>
      <c r="AH155" s="14"/>
      <c r="AI155" s="6"/>
    </row>
    <row r="156" spans="1:35" ht="19.899999999999999" customHeight="1" x14ac:dyDescent="0.25">
      <c r="A156" s="5">
        <v>153</v>
      </c>
      <c r="B156" s="5" t="s">
        <v>33</v>
      </c>
      <c r="C156" s="5" t="s">
        <v>948</v>
      </c>
      <c r="D156" s="5" t="s">
        <v>56</v>
      </c>
      <c r="E156" s="5">
        <v>19871210</v>
      </c>
      <c r="F156" s="5" t="s">
        <v>36</v>
      </c>
      <c r="G156" s="5" t="s">
        <v>949</v>
      </c>
      <c r="H156" s="5" t="s">
        <v>38</v>
      </c>
      <c r="I156" s="5" t="s">
        <v>950</v>
      </c>
      <c r="J156" s="5"/>
      <c r="K156" s="5"/>
      <c r="L156" s="5"/>
      <c r="M156" s="5"/>
      <c r="N156" s="5"/>
      <c r="O156" s="5"/>
      <c r="P156" s="5"/>
      <c r="Q156" s="5"/>
      <c r="R156" s="4">
        <v>45720</v>
      </c>
      <c r="S156" s="4">
        <v>46232</v>
      </c>
      <c r="T156" s="5" t="str">
        <f>IF(AND(R156="", S156=""), "대기자", IF(AND(R156&lt;&gt;"", S156=""), "취업 중", IF(AND(R156="", S156&lt;&gt;""), "대기자", IF(R156=S156, "", IF(R156 &lt; S156, "대기자", "취업 중")))))</f>
        <v>대기자</v>
      </c>
      <c r="U156" s="5" t="str">
        <f>IF(J156=""," ",IF(ISNUMBER(SEARCH("소형",J156)),"소형","대형"))</f>
        <v xml:space="preserve"> </v>
      </c>
      <c r="V156" s="4">
        <v>44562</v>
      </c>
      <c r="W156" s="5"/>
      <c r="X156" s="5"/>
      <c r="Y156" s="5"/>
      <c r="Z156" s="13"/>
      <c r="AA156" s="13"/>
      <c r="AB156" s="13"/>
      <c r="AC156" s="13"/>
      <c r="AD156" s="13"/>
      <c r="AE156" s="15"/>
      <c r="AF156" s="15"/>
      <c r="AG156" s="15" t="s">
        <v>951</v>
      </c>
      <c r="AH156" s="15" t="s">
        <v>952</v>
      </c>
      <c r="AI156" s="6"/>
    </row>
    <row r="157" spans="1:35" ht="19.899999999999999" customHeight="1" x14ac:dyDescent="0.25">
      <c r="A157" s="5">
        <v>154</v>
      </c>
      <c r="B157" s="5" t="s">
        <v>33</v>
      </c>
      <c r="C157" s="5" t="s">
        <v>953</v>
      </c>
      <c r="D157" s="5" t="s">
        <v>56</v>
      </c>
      <c r="E157" s="5">
        <v>19710224</v>
      </c>
      <c r="F157" s="5" t="s">
        <v>36</v>
      </c>
      <c r="G157" s="5" t="s">
        <v>954</v>
      </c>
      <c r="H157" s="5" t="s">
        <v>38</v>
      </c>
      <c r="I157" s="5" t="s">
        <v>955</v>
      </c>
      <c r="J157" s="5" t="s">
        <v>956</v>
      </c>
      <c r="K157" s="5" t="s">
        <v>957</v>
      </c>
      <c r="L157" s="5" t="s">
        <v>958</v>
      </c>
      <c r="M157" s="5" t="s">
        <v>959</v>
      </c>
      <c r="N157" s="5" t="s">
        <v>960</v>
      </c>
      <c r="O157" s="5" t="s">
        <v>38</v>
      </c>
      <c r="P157" s="5" t="s">
        <v>64</v>
      </c>
      <c r="Q157" s="5" t="s">
        <v>961</v>
      </c>
      <c r="R157" s="4">
        <v>45796</v>
      </c>
      <c r="S157" s="4">
        <v>45560</v>
      </c>
      <c r="T157" s="5" t="str">
        <f>IF(AND(R157="", S157=""), "대기자", IF(AND(R157&lt;&gt;"", S157=""), "취업 중", IF(AND(R157="", S157&lt;&gt;""), "대기자", IF(R157=S157, "", IF(R157 &lt; S157, "대기자", "취업 중")))))</f>
        <v>취업 중</v>
      </c>
      <c r="U157" s="5" t="str">
        <f>IF(J157=""," ",IF(ISNUMBER(SEARCH("소형",J157)),"소형","대형"))</f>
        <v>대형</v>
      </c>
      <c r="V157" s="4">
        <v>42948</v>
      </c>
      <c r="W157" s="5"/>
      <c r="X157" s="5"/>
      <c r="Y157" s="5"/>
      <c r="Z157" s="13" t="s">
        <v>47</v>
      </c>
      <c r="AA157" s="13" t="s">
        <v>48</v>
      </c>
      <c r="AB157" s="13" t="s">
        <v>49</v>
      </c>
      <c r="AC157" s="13" t="s">
        <v>48</v>
      </c>
      <c r="AD157" s="13" t="s">
        <v>50</v>
      </c>
      <c r="AE157" s="14"/>
      <c r="AF157" s="14"/>
      <c r="AG157" s="14" t="s">
        <v>184</v>
      </c>
      <c r="AH157" s="14" t="s">
        <v>962</v>
      </c>
      <c r="AI157" s="6"/>
    </row>
    <row r="158" spans="1:35" ht="19.899999999999999" customHeight="1" x14ac:dyDescent="0.25">
      <c r="A158" s="5">
        <v>155</v>
      </c>
      <c r="B158" s="5" t="s">
        <v>33</v>
      </c>
      <c r="C158" s="5" t="s">
        <v>963</v>
      </c>
      <c r="D158" s="5" t="s">
        <v>72</v>
      </c>
      <c r="E158" s="5">
        <v>19950127</v>
      </c>
      <c r="F158" s="5" t="s">
        <v>36</v>
      </c>
      <c r="G158" s="5" t="s">
        <v>964</v>
      </c>
      <c r="H158" s="5" t="s">
        <v>38</v>
      </c>
      <c r="I158" s="5" t="s">
        <v>965</v>
      </c>
      <c r="J158" s="5" t="s">
        <v>966</v>
      </c>
      <c r="K158" s="5" t="s">
        <v>967</v>
      </c>
      <c r="L158" s="5" t="s">
        <v>968</v>
      </c>
      <c r="M158" s="5" t="s">
        <v>969</v>
      </c>
      <c r="N158" s="5" t="s">
        <v>970</v>
      </c>
      <c r="O158" s="5" t="s">
        <v>38</v>
      </c>
      <c r="P158" s="5" t="s">
        <v>92</v>
      </c>
      <c r="Q158" s="5" t="s">
        <v>971</v>
      </c>
      <c r="R158" s="4">
        <v>46084</v>
      </c>
      <c r="S158" s="4">
        <v>45885</v>
      </c>
      <c r="T158" s="5" t="str">
        <f>IF(AND(R158="", S158=""), "대기자", IF(AND(R158&lt;&gt;"", S158=""), "취업 중", IF(AND(R158="", S158&lt;&gt;""), "대기자", IF(R158=S158, "", IF(R158 &lt; S158, "대기자", "취업 중")))))</f>
        <v>취업 중</v>
      </c>
      <c r="U158" s="5" t="str">
        <f>IF(J158=""," ",IF(ISNUMBER(SEARCH("소형",J158)),"소형","대형"))</f>
        <v>대형</v>
      </c>
      <c r="V158" s="4">
        <v>45627</v>
      </c>
      <c r="W158" s="5"/>
      <c r="X158" s="5"/>
      <c r="Y158" s="5"/>
      <c r="Z158" s="13" t="s">
        <v>70</v>
      </c>
      <c r="AA158" s="13" t="s">
        <v>48</v>
      </c>
      <c r="AB158" s="13" t="s">
        <v>48</v>
      </c>
      <c r="AC158" s="13" t="s">
        <v>48</v>
      </c>
      <c r="AD158" s="13" t="s">
        <v>50</v>
      </c>
      <c r="AE158" s="15"/>
      <c r="AF158" s="15"/>
      <c r="AG158" s="15"/>
      <c r="AH158" s="15" t="s">
        <v>972</v>
      </c>
      <c r="AI158" s="6"/>
    </row>
    <row r="159" spans="1:35" ht="19.899999999999999" customHeight="1" x14ac:dyDescent="0.25">
      <c r="A159" s="5">
        <v>156</v>
      </c>
      <c r="B159" s="5" t="s">
        <v>33</v>
      </c>
      <c r="C159" s="5" t="s">
        <v>973</v>
      </c>
      <c r="D159" s="5" t="s">
        <v>144</v>
      </c>
      <c r="E159" s="5">
        <v>19700910</v>
      </c>
      <c r="F159" s="5" t="s">
        <v>36</v>
      </c>
      <c r="G159" s="5" t="s">
        <v>974</v>
      </c>
      <c r="H159" s="5" t="s">
        <v>38</v>
      </c>
      <c r="I159" s="5" t="s">
        <v>975</v>
      </c>
      <c r="J159" s="5" t="s">
        <v>59</v>
      </c>
      <c r="K159" s="5" t="s">
        <v>112</v>
      </c>
      <c r="L159" s="5" t="s">
        <v>113</v>
      </c>
      <c r="M159" s="5" t="s">
        <v>62</v>
      </c>
      <c r="N159" s="5" t="s">
        <v>63</v>
      </c>
      <c r="O159" s="5" t="s">
        <v>38</v>
      </c>
      <c r="P159" s="5" t="s">
        <v>64</v>
      </c>
      <c r="Q159" s="5" t="s">
        <v>65</v>
      </c>
      <c r="R159" s="4">
        <v>46209</v>
      </c>
      <c r="S159" s="4">
        <v>46115</v>
      </c>
      <c r="T159" s="5" t="str">
        <f>IF(AND(R159="", S159=""), "대기자", IF(AND(R159&lt;&gt;"", S159=""), "취업 중", IF(AND(R159="", S159&lt;&gt;""), "대기자", IF(R159=S159, "", IF(R159 &lt; S159, "대기자", "취업 중")))))</f>
        <v>취업 중</v>
      </c>
      <c r="U159" s="5" t="str">
        <f>IF(J159=""," ",IF(ISNUMBER(SEARCH("소형",J159)),"소형","대형"))</f>
        <v>대형</v>
      </c>
      <c r="V159" s="4">
        <v>41797</v>
      </c>
      <c r="W159" s="5"/>
      <c r="X159" s="5"/>
      <c r="Y159" s="5"/>
      <c r="Z159" s="13">
        <v>23</v>
      </c>
      <c r="AA159" s="13">
        <v>10</v>
      </c>
      <c r="AB159" s="13">
        <v>10</v>
      </c>
      <c r="AC159" s="13">
        <v>1</v>
      </c>
      <c r="AD159" s="13">
        <v>2</v>
      </c>
      <c r="AE159" s="14"/>
      <c r="AF159" s="14"/>
      <c r="AG159" s="14" t="s">
        <v>193</v>
      </c>
      <c r="AH159" s="14"/>
      <c r="AI159" s="6"/>
    </row>
    <row r="160" spans="1:35" ht="19.899999999999999" customHeight="1" x14ac:dyDescent="0.25">
      <c r="A160" s="5">
        <v>157</v>
      </c>
      <c r="B160" s="5" t="s">
        <v>33</v>
      </c>
      <c r="C160" s="5" t="s">
        <v>976</v>
      </c>
      <c r="D160" s="5" t="s">
        <v>67</v>
      </c>
      <c r="E160" s="5">
        <v>19760817</v>
      </c>
      <c r="F160" s="5" t="s">
        <v>36</v>
      </c>
      <c r="G160" s="5" t="s">
        <v>977</v>
      </c>
      <c r="H160" s="5" t="s">
        <v>38</v>
      </c>
      <c r="I160" s="5" t="s">
        <v>978</v>
      </c>
      <c r="J160" s="5" t="s">
        <v>518</v>
      </c>
      <c r="K160" s="5" t="s">
        <v>967</v>
      </c>
      <c r="L160" s="5" t="s">
        <v>979</v>
      </c>
      <c r="M160" s="5" t="s">
        <v>980</v>
      </c>
      <c r="N160" s="5" t="s">
        <v>981</v>
      </c>
      <c r="O160" s="5" t="s">
        <v>38</v>
      </c>
      <c r="P160" s="5" t="s">
        <v>64</v>
      </c>
      <c r="Q160" s="5" t="s">
        <v>982</v>
      </c>
      <c r="R160" s="4">
        <v>45975</v>
      </c>
      <c r="S160" s="4">
        <v>45503</v>
      </c>
      <c r="T160" s="5" t="str">
        <f>IF(AND(R160="", S160=""), "대기자", IF(AND(R160&lt;&gt;"", S160=""), "취업 중", IF(AND(R160="", S160&lt;&gt;""), "대기자", IF(R160=S160, "", IF(R160 &lt; S160, "대기자", "취업 중")))))</f>
        <v>취업 중</v>
      </c>
      <c r="U160" s="5" t="str">
        <f>IF(J160=""," ",IF(ISNUMBER(SEARCH("소형",J160)),"소형","대형"))</f>
        <v>대형</v>
      </c>
      <c r="V160" s="4">
        <v>40604</v>
      </c>
      <c r="W160" s="5"/>
      <c r="X160" s="5"/>
      <c r="Y160" s="5"/>
      <c r="Z160" s="13" t="s">
        <v>70</v>
      </c>
      <c r="AA160" s="13" t="s">
        <v>48</v>
      </c>
      <c r="AB160" s="13" t="s">
        <v>49</v>
      </c>
      <c r="AC160" s="13" t="s">
        <v>50</v>
      </c>
      <c r="AD160" s="13" t="s">
        <v>50</v>
      </c>
      <c r="AE160" s="15"/>
      <c r="AF160" s="15"/>
      <c r="AG160" s="15" t="s">
        <v>155</v>
      </c>
      <c r="AH160" s="15" t="s">
        <v>983</v>
      </c>
      <c r="AI160" s="6"/>
    </row>
    <row r="161" spans="1:35" ht="19.899999999999999" customHeight="1" x14ac:dyDescent="0.25">
      <c r="A161" s="5">
        <v>158</v>
      </c>
      <c r="B161" s="5" t="s">
        <v>33</v>
      </c>
      <c r="C161" s="5" t="s">
        <v>984</v>
      </c>
      <c r="D161" s="5" t="s">
        <v>285</v>
      </c>
      <c r="E161" s="5">
        <v>19750422</v>
      </c>
      <c r="F161" s="5" t="s">
        <v>36</v>
      </c>
      <c r="G161" s="5" t="s">
        <v>985</v>
      </c>
      <c r="H161" s="5" t="s">
        <v>38</v>
      </c>
      <c r="I161" s="5" t="s">
        <v>986</v>
      </c>
      <c r="J161" s="5"/>
      <c r="K161" s="5"/>
      <c r="L161" s="5"/>
      <c r="M161" s="5"/>
      <c r="N161" s="5"/>
      <c r="O161" s="5"/>
      <c r="P161" s="5"/>
      <c r="Q161" s="5"/>
      <c r="R161" s="4">
        <v>45649</v>
      </c>
      <c r="S161" s="4">
        <v>45982</v>
      </c>
      <c r="T161" s="5" t="str">
        <f>IF(AND(R161="", S161=""), "대기자", IF(AND(R161&lt;&gt;"", S161=""), "취업 중", IF(AND(R161="", S161&lt;&gt;""), "대기자", IF(R161=S161, "", IF(R161 &lt; S161, "대기자", "취업 중")))))</f>
        <v>대기자</v>
      </c>
      <c r="U161" s="5" t="str">
        <f>IF(J161=""," ",IF(ISNUMBER(SEARCH("소형",J161)),"소형","대형"))</f>
        <v xml:space="preserve"> </v>
      </c>
      <c r="V161" s="4">
        <v>45627</v>
      </c>
      <c r="W161" s="5"/>
      <c r="X161" s="5"/>
      <c r="Y161" s="5"/>
      <c r="Z161" s="13"/>
      <c r="AA161" s="13"/>
      <c r="AB161" s="13"/>
      <c r="AC161" s="13"/>
      <c r="AD161" s="13"/>
      <c r="AE161" s="14"/>
      <c r="AF161" s="14"/>
      <c r="AG161" s="14"/>
      <c r="AH161" s="14"/>
      <c r="AI161" s="6"/>
    </row>
    <row r="162" spans="1:35" ht="19.899999999999999" customHeight="1" x14ac:dyDescent="0.25">
      <c r="A162" s="5">
        <v>159</v>
      </c>
      <c r="B162" s="5" t="s">
        <v>33</v>
      </c>
      <c r="C162" s="5" t="s">
        <v>987</v>
      </c>
      <c r="D162" s="5" t="s">
        <v>35</v>
      </c>
      <c r="E162" s="5">
        <v>19740214</v>
      </c>
      <c r="F162" s="5" t="s">
        <v>36</v>
      </c>
      <c r="G162" s="5" t="s">
        <v>988</v>
      </c>
      <c r="H162" s="5" t="s">
        <v>38</v>
      </c>
      <c r="I162" s="5" t="s">
        <v>989</v>
      </c>
      <c r="J162" s="5" t="s">
        <v>990</v>
      </c>
      <c r="K162" s="5" t="s">
        <v>991</v>
      </c>
      <c r="L162" s="5" t="s">
        <v>992</v>
      </c>
      <c r="M162" s="5" t="s">
        <v>993</v>
      </c>
      <c r="N162" s="5" t="s">
        <v>994</v>
      </c>
      <c r="O162" s="5" t="s">
        <v>38</v>
      </c>
      <c r="P162" s="5" t="s">
        <v>865</v>
      </c>
      <c r="Q162" s="5" t="s">
        <v>995</v>
      </c>
      <c r="R162" s="4">
        <v>46090</v>
      </c>
      <c r="S162" s="4">
        <v>45969</v>
      </c>
      <c r="T162" s="5" t="str">
        <f>IF(AND(R162="", S162=""), "대기자", IF(AND(R162&lt;&gt;"", S162=""), "취업 중", IF(AND(R162="", S162&lt;&gt;""), "대기자", IF(R162=S162, "", IF(R162 &lt; S162, "대기자", "취업 중")))))</f>
        <v>취업 중</v>
      </c>
      <c r="U162" s="5" t="str">
        <f>IF(J162=""," ",IF(ISNUMBER(SEARCH("소형",J162)),"소형","대형"))</f>
        <v>대형</v>
      </c>
      <c r="V162" s="4">
        <v>39448</v>
      </c>
      <c r="W162" s="5"/>
      <c r="X162" s="5"/>
      <c r="Y162" s="5"/>
      <c r="Z162" s="13" t="s">
        <v>47</v>
      </c>
      <c r="AA162" s="13" t="s">
        <v>48</v>
      </c>
      <c r="AB162" s="13" t="s">
        <v>49</v>
      </c>
      <c r="AC162" s="13" t="s">
        <v>50</v>
      </c>
      <c r="AD162" s="13" t="s">
        <v>48</v>
      </c>
      <c r="AE162" s="15"/>
      <c r="AF162" s="15"/>
      <c r="AG162" s="15"/>
      <c r="AH162" s="15" t="s">
        <v>996</v>
      </c>
      <c r="AI162" s="6"/>
    </row>
    <row r="163" spans="1:35" ht="19.899999999999999" customHeight="1" x14ac:dyDescent="0.25">
      <c r="A163" s="5">
        <v>160</v>
      </c>
      <c r="B163" s="5" t="s">
        <v>33</v>
      </c>
      <c r="C163" s="5" t="s">
        <v>997</v>
      </c>
      <c r="D163" s="5" t="s">
        <v>285</v>
      </c>
      <c r="E163" s="5">
        <v>19750318</v>
      </c>
      <c r="F163" s="5" t="s">
        <v>36</v>
      </c>
      <c r="G163" s="5" t="s">
        <v>998</v>
      </c>
      <c r="H163" s="5" t="s">
        <v>298</v>
      </c>
      <c r="I163" s="5" t="s">
        <v>999</v>
      </c>
      <c r="J163" s="5" t="s">
        <v>1000</v>
      </c>
      <c r="K163" s="5" t="s">
        <v>1001</v>
      </c>
      <c r="L163" s="5" t="s">
        <v>1002</v>
      </c>
      <c r="M163" s="5" t="s">
        <v>1003</v>
      </c>
      <c r="N163" s="5" t="s">
        <v>1004</v>
      </c>
      <c r="O163" s="5" t="s">
        <v>298</v>
      </c>
      <c r="P163" s="5" t="s">
        <v>1005</v>
      </c>
      <c r="Q163" s="5" t="s">
        <v>1006</v>
      </c>
      <c r="R163" s="4">
        <v>45867</v>
      </c>
      <c r="S163" s="4">
        <v>45611</v>
      </c>
      <c r="T163" s="5" t="str">
        <f>IF(AND(R163="", S163=""), "대기자", IF(AND(R163&lt;&gt;"", S163=""), "취업 중", IF(AND(R163="", S163&lt;&gt;""), "대기자", IF(R163=S163, "", IF(R163 &lt; S163, "대기자", "취업 중")))))</f>
        <v>취업 중</v>
      </c>
      <c r="U163" s="5" t="str">
        <f>IF(J163=""," ",IF(ISNUMBER(SEARCH("소형",J163)),"소형","대형"))</f>
        <v>대형</v>
      </c>
      <c r="V163" s="4" t="s">
        <v>1007</v>
      </c>
      <c r="W163" s="5"/>
      <c r="X163" s="5"/>
      <c r="Y163" s="5"/>
      <c r="Z163" s="13" t="s">
        <v>49</v>
      </c>
      <c r="AA163" s="13" t="s">
        <v>48</v>
      </c>
      <c r="AB163" s="13" t="s">
        <v>50</v>
      </c>
      <c r="AC163" s="13" t="s">
        <v>50</v>
      </c>
      <c r="AD163" s="13" t="s">
        <v>48</v>
      </c>
      <c r="AE163" s="14"/>
      <c r="AF163" s="14"/>
      <c r="AG163" s="14" t="s">
        <v>193</v>
      </c>
      <c r="AH163" s="14" t="s">
        <v>1008</v>
      </c>
      <c r="AI163" s="6"/>
    </row>
    <row r="164" spans="1:35" ht="19.899999999999999" customHeight="1" x14ac:dyDescent="0.25">
      <c r="A164" s="5">
        <v>161</v>
      </c>
      <c r="B164" s="5" t="s">
        <v>33</v>
      </c>
      <c r="C164" s="5" t="s">
        <v>1009</v>
      </c>
      <c r="D164" s="5" t="s">
        <v>526</v>
      </c>
      <c r="E164" s="5">
        <v>19820204</v>
      </c>
      <c r="F164" s="5" t="s">
        <v>36</v>
      </c>
      <c r="G164" s="5" t="s">
        <v>1010</v>
      </c>
      <c r="H164" s="5" t="s">
        <v>38</v>
      </c>
      <c r="I164" s="5" t="s">
        <v>1011</v>
      </c>
      <c r="J164" s="5" t="s">
        <v>198</v>
      </c>
      <c r="K164" s="5" t="s">
        <v>148</v>
      </c>
      <c r="L164" s="5" t="s">
        <v>666</v>
      </c>
      <c r="M164" s="5" t="s">
        <v>667</v>
      </c>
      <c r="N164" s="5" t="s">
        <v>668</v>
      </c>
      <c r="O164" s="5" t="s">
        <v>38</v>
      </c>
      <c r="P164" s="5" t="s">
        <v>402</v>
      </c>
      <c r="Q164" s="5" t="s">
        <v>669</v>
      </c>
      <c r="R164" s="4">
        <v>45694</v>
      </c>
      <c r="S164" s="4">
        <v>45414</v>
      </c>
      <c r="T164" s="5" t="str">
        <f>IF(AND(R164="", S164=""), "대기자", IF(AND(R164&lt;&gt;"", S164=""), "취업 중", IF(AND(R164="", S164&lt;&gt;""), "대기자", IF(R164=S164, "", IF(R164 &lt; S164, "대기자", "취업 중")))))</f>
        <v>취업 중</v>
      </c>
      <c r="U164" s="5" t="str">
        <f>IF(J164=""," ",IF(ISNUMBER(SEARCH("소형",J164)),"소형","대형"))</f>
        <v>대형</v>
      </c>
      <c r="V164" s="4" t="s">
        <v>1007</v>
      </c>
      <c r="W164" s="5"/>
      <c r="X164" s="5"/>
      <c r="Y164" s="5"/>
      <c r="Z164" s="13" t="s">
        <v>118</v>
      </c>
      <c r="AA164" s="13" t="s">
        <v>70</v>
      </c>
      <c r="AB164" s="13" t="s">
        <v>70</v>
      </c>
      <c r="AC164" s="13">
        <v>0</v>
      </c>
      <c r="AD164" s="13" t="s">
        <v>48</v>
      </c>
      <c r="AE164" s="15"/>
      <c r="AF164" s="15"/>
      <c r="AG164" s="15" t="s">
        <v>274</v>
      </c>
      <c r="AH164" s="15" t="s">
        <v>1012</v>
      </c>
      <c r="AI164" s="6"/>
    </row>
    <row r="165" spans="1:35" ht="19.899999999999999" customHeight="1" x14ac:dyDescent="0.25">
      <c r="A165" s="5">
        <v>162</v>
      </c>
      <c r="B165" s="5" t="s">
        <v>33</v>
      </c>
      <c r="C165" s="5" t="s">
        <v>1013</v>
      </c>
      <c r="D165" s="5" t="s">
        <v>35</v>
      </c>
      <c r="E165" s="5">
        <v>19730510</v>
      </c>
      <c r="F165" s="5" t="s">
        <v>36</v>
      </c>
      <c r="G165" s="5" t="s">
        <v>1014</v>
      </c>
      <c r="H165" s="5" t="s">
        <v>38</v>
      </c>
      <c r="I165" s="5" t="s">
        <v>1015</v>
      </c>
      <c r="J165" s="5" t="s">
        <v>59</v>
      </c>
      <c r="K165" s="5" t="s">
        <v>60</v>
      </c>
      <c r="L165" s="5" t="s">
        <v>61</v>
      </c>
      <c r="M165" s="5" t="s">
        <v>62</v>
      </c>
      <c r="N165" s="5" t="s">
        <v>63</v>
      </c>
      <c r="O165" s="5" t="s">
        <v>38</v>
      </c>
      <c r="P165" s="5" t="s">
        <v>64</v>
      </c>
      <c r="Q165" s="5" t="s">
        <v>65</v>
      </c>
      <c r="R165" s="4">
        <v>46156</v>
      </c>
      <c r="S165" s="4">
        <v>46050</v>
      </c>
      <c r="T165" s="5" t="str">
        <f>IF(AND(R165="", S165=""), "대기자", IF(AND(R165&lt;&gt;"", S165=""), "취업 중", IF(AND(R165="", S165&lt;&gt;""), "대기자", IF(R165=S165, "", IF(R165 &lt; S165, "대기자", "취업 중")))))</f>
        <v>취업 중</v>
      </c>
      <c r="U165" s="5" t="str">
        <f>IF(J165=""," ",IF(ISNUMBER(SEARCH("소형",J165)),"소형","대형"))</f>
        <v>대형</v>
      </c>
      <c r="V165" s="4">
        <v>41275</v>
      </c>
      <c r="W165" s="5"/>
      <c r="X165" s="5"/>
      <c r="Y165" s="5"/>
      <c r="Z165" s="13">
        <v>27</v>
      </c>
      <c r="AA165" s="13">
        <v>12</v>
      </c>
      <c r="AB165" s="13">
        <v>12</v>
      </c>
      <c r="AC165" s="13">
        <v>1</v>
      </c>
      <c r="AD165" s="13">
        <v>2</v>
      </c>
      <c r="AE165" s="14"/>
      <c r="AF165" s="14"/>
      <c r="AG165" s="14"/>
      <c r="AH165" s="14" t="s">
        <v>1016</v>
      </c>
      <c r="AI165" s="6"/>
    </row>
    <row r="166" spans="1:35" ht="19.899999999999999" customHeight="1" x14ac:dyDescent="0.25">
      <c r="A166" s="5">
        <v>163</v>
      </c>
      <c r="B166" s="5" t="s">
        <v>33</v>
      </c>
      <c r="C166" s="5" t="s">
        <v>1017</v>
      </c>
      <c r="D166" s="5" t="s">
        <v>72</v>
      </c>
      <c r="E166" s="5">
        <v>19670925</v>
      </c>
      <c r="F166" s="5" t="s">
        <v>36</v>
      </c>
      <c r="G166" s="5" t="s">
        <v>1018</v>
      </c>
      <c r="H166" s="5" t="s">
        <v>38</v>
      </c>
      <c r="I166" s="5" t="s">
        <v>1019</v>
      </c>
      <c r="J166" s="5" t="s">
        <v>59</v>
      </c>
      <c r="K166" s="5" t="s">
        <v>60</v>
      </c>
      <c r="L166" s="5" t="s">
        <v>61</v>
      </c>
      <c r="M166" s="5" t="s">
        <v>62</v>
      </c>
      <c r="N166" s="5" t="s">
        <v>63</v>
      </c>
      <c r="O166" s="5" t="s">
        <v>38</v>
      </c>
      <c r="P166" s="5" t="s">
        <v>64</v>
      </c>
      <c r="Q166" s="5" t="s">
        <v>65</v>
      </c>
      <c r="R166" s="4">
        <v>46156</v>
      </c>
      <c r="S166" s="4">
        <v>45989</v>
      </c>
      <c r="T166" s="5" t="str">
        <f>IF(AND(R166="", S166=""), "대기자", IF(AND(R166&lt;&gt;"", S166=""), "취업 중", IF(AND(R166="", S166&lt;&gt;""), "대기자", IF(R166=S166, "", IF(R166 &lt; S166, "대기자", "취업 중")))))</f>
        <v>취업 중</v>
      </c>
      <c r="U166" s="5" t="str">
        <f>IF(J166=""," ",IF(ISNUMBER(SEARCH("소형",J166)),"소형","대형"))</f>
        <v>대형</v>
      </c>
      <c r="V166" s="4">
        <v>42553</v>
      </c>
      <c r="W166" s="5"/>
      <c r="X166" s="5"/>
      <c r="Y166" s="5"/>
      <c r="Z166" s="13">
        <v>27</v>
      </c>
      <c r="AA166" s="13">
        <v>12</v>
      </c>
      <c r="AB166" s="13">
        <v>12</v>
      </c>
      <c r="AC166" s="13">
        <v>1</v>
      </c>
      <c r="AD166" s="13">
        <v>2</v>
      </c>
      <c r="AE166" s="15"/>
      <c r="AF166" s="15"/>
      <c r="AG166" s="15"/>
      <c r="AH166" s="15" t="s">
        <v>1020</v>
      </c>
      <c r="AI166" s="6"/>
    </row>
    <row r="167" spans="1:35" ht="19.899999999999999" customHeight="1" x14ac:dyDescent="0.25">
      <c r="A167" s="5">
        <v>164</v>
      </c>
      <c r="B167" s="5" t="s">
        <v>33</v>
      </c>
      <c r="C167" s="5" t="s">
        <v>1021</v>
      </c>
      <c r="D167" s="5" t="s">
        <v>67</v>
      </c>
      <c r="E167" s="5">
        <v>19781015</v>
      </c>
      <c r="F167" s="5" t="s">
        <v>36</v>
      </c>
      <c r="G167" s="5" t="s">
        <v>1022</v>
      </c>
      <c r="H167" s="5" t="s">
        <v>38</v>
      </c>
      <c r="I167" s="5" t="s">
        <v>1023</v>
      </c>
      <c r="J167" s="5" t="s">
        <v>494</v>
      </c>
      <c r="K167" s="5" t="s">
        <v>1024</v>
      </c>
      <c r="L167" s="5" t="s">
        <v>1025</v>
      </c>
      <c r="M167" s="5" t="s">
        <v>1026</v>
      </c>
      <c r="N167" s="5" t="s">
        <v>1027</v>
      </c>
      <c r="O167" s="5" t="s">
        <v>38</v>
      </c>
      <c r="P167" s="5" t="s">
        <v>512</v>
      </c>
      <c r="Q167" s="5" t="s">
        <v>1028</v>
      </c>
      <c r="R167" s="4">
        <v>46276</v>
      </c>
      <c r="S167" s="4">
        <v>45871</v>
      </c>
      <c r="T167" s="5" t="str">
        <f>IF(AND(R167="", S167=""), "대기자", IF(AND(R167&lt;&gt;"", S167=""), "취업 중", IF(AND(R167="", S167&lt;&gt;""), "대기자", IF(R167=S167, "", IF(R167 &lt; S167, "대기자", "취업 중")))))</f>
        <v>취업 중</v>
      </c>
      <c r="U167" s="5" t="str">
        <f>IF(J167=""," ",IF(ISNUMBER(SEARCH("소형",J167)),"소형","대형"))</f>
        <v>대형</v>
      </c>
      <c r="V167" s="4">
        <v>43213</v>
      </c>
      <c r="W167" s="5"/>
      <c r="X167" s="5"/>
      <c r="Y167" s="5"/>
      <c r="Z167" s="16">
        <v>5</v>
      </c>
      <c r="AA167" s="16">
        <v>1</v>
      </c>
      <c r="AB167" s="16">
        <v>0</v>
      </c>
      <c r="AC167" s="16">
        <v>0</v>
      </c>
      <c r="AD167" s="16">
        <v>1</v>
      </c>
      <c r="AE167" s="14"/>
      <c r="AF167" s="14"/>
      <c r="AG167" s="14"/>
      <c r="AH167" s="14"/>
      <c r="AI167" s="6"/>
    </row>
    <row r="168" spans="1:35" ht="19.899999999999999" customHeight="1" x14ac:dyDescent="0.25">
      <c r="A168" s="5">
        <v>165</v>
      </c>
      <c r="B168" s="5" t="s">
        <v>33</v>
      </c>
      <c r="C168" s="5" t="s">
        <v>1029</v>
      </c>
      <c r="D168" s="5" t="s">
        <v>72</v>
      </c>
      <c r="E168" s="5">
        <v>19770505</v>
      </c>
      <c r="F168" s="5" t="s">
        <v>36</v>
      </c>
      <c r="G168" s="5" t="s">
        <v>1030</v>
      </c>
      <c r="H168" s="5" t="s">
        <v>38</v>
      </c>
      <c r="I168" s="5" t="s">
        <v>1031</v>
      </c>
      <c r="J168" s="5" t="s">
        <v>59</v>
      </c>
      <c r="K168" s="5" t="s">
        <v>509</v>
      </c>
      <c r="L168" s="5" t="s">
        <v>510</v>
      </c>
      <c r="M168" s="5" t="s">
        <v>62</v>
      </c>
      <c r="N168" s="5" t="s">
        <v>63</v>
      </c>
      <c r="O168" s="5" t="s">
        <v>38</v>
      </c>
      <c r="P168" s="5" t="s">
        <v>512</v>
      </c>
      <c r="Q168" s="5" t="s">
        <v>513</v>
      </c>
      <c r="R168" s="4">
        <v>45892</v>
      </c>
      <c r="S168" s="4">
        <v>45524</v>
      </c>
      <c r="T168" s="5" t="str">
        <f>IF(AND(R168="", S168=""), "대기자", IF(AND(R168&lt;&gt;"", S168=""), "취업 중", IF(AND(R168="", S168&lt;&gt;""), "대기자", IF(R168=S168, "", IF(R168 &lt; S168, "대기자", "취업 중")))))</f>
        <v>취업 중</v>
      </c>
      <c r="U168" s="5" t="str">
        <f>IF(J168=""," ",IF(ISNUMBER(SEARCH("소형",J168)),"소형","대형"))</f>
        <v>대형</v>
      </c>
      <c r="V168" s="4">
        <v>38777</v>
      </c>
      <c r="W168" s="5"/>
      <c r="X168" s="5"/>
      <c r="Y168" s="5"/>
      <c r="Z168" s="13">
        <v>15</v>
      </c>
      <c r="AA168" s="13">
        <v>6</v>
      </c>
      <c r="AB168" s="13">
        <v>7</v>
      </c>
      <c r="AC168" s="13">
        <v>0</v>
      </c>
      <c r="AD168" s="13">
        <v>2</v>
      </c>
      <c r="AE168" s="15"/>
      <c r="AF168" s="15"/>
      <c r="AG168" s="15" t="s">
        <v>83</v>
      </c>
      <c r="AH168" s="15" t="s">
        <v>1032</v>
      </c>
      <c r="AI168" s="6"/>
    </row>
    <row r="169" spans="1:35" ht="19.899999999999999" customHeight="1" x14ac:dyDescent="0.25">
      <c r="A169" s="5">
        <v>166</v>
      </c>
      <c r="B169" s="5" t="s">
        <v>33</v>
      </c>
      <c r="C169" s="5" t="s">
        <v>1033</v>
      </c>
      <c r="D169" s="5" t="s">
        <v>67</v>
      </c>
      <c r="E169" s="5">
        <v>19770419</v>
      </c>
      <c r="F169" s="5" t="s">
        <v>36</v>
      </c>
      <c r="G169" s="5" t="s">
        <v>1034</v>
      </c>
      <c r="H169" s="5" t="s">
        <v>38</v>
      </c>
      <c r="I169" s="5" t="s">
        <v>1035</v>
      </c>
      <c r="J169" s="5"/>
      <c r="K169" s="5"/>
      <c r="L169" s="5"/>
      <c r="M169" s="5"/>
      <c r="N169" s="5"/>
      <c r="O169" s="5"/>
      <c r="P169" s="5"/>
      <c r="Q169" s="5"/>
      <c r="R169" s="4">
        <v>45790</v>
      </c>
      <c r="S169" s="4">
        <v>46276</v>
      </c>
      <c r="T169" s="5" t="str">
        <f>IF(AND(R169="", S169=""), "대기자", IF(AND(R169&lt;&gt;"", S169=""), "취업 중", IF(AND(R169="", S169&lt;&gt;""), "대기자", IF(R169=S169, "", IF(R169 &lt; S169, "대기자", "취업 중")))))</f>
        <v>대기자</v>
      </c>
      <c r="U169" s="5" t="str">
        <f>IF(J169=""," ",IF(ISNUMBER(SEARCH("소형",J169)),"소형","대형"))</f>
        <v xml:space="preserve"> </v>
      </c>
      <c r="V169" s="4">
        <v>42583</v>
      </c>
      <c r="W169" s="5"/>
      <c r="X169" s="5"/>
      <c r="Y169" s="5"/>
      <c r="Z169" s="13"/>
      <c r="AA169" s="13"/>
      <c r="AB169" s="13"/>
      <c r="AC169" s="13"/>
      <c r="AD169" s="13"/>
      <c r="AE169" s="14"/>
      <c r="AF169" s="14"/>
      <c r="AG169" s="14" t="s">
        <v>83</v>
      </c>
      <c r="AH169" s="14" t="s">
        <v>1036</v>
      </c>
      <c r="AI169" s="6"/>
    </row>
    <row r="170" spans="1:35" ht="19.899999999999999" customHeight="1" x14ac:dyDescent="0.25">
      <c r="A170" s="5">
        <v>167</v>
      </c>
      <c r="B170" s="5" t="s">
        <v>33</v>
      </c>
      <c r="C170" s="5" t="s">
        <v>1037</v>
      </c>
      <c r="D170" s="5" t="s">
        <v>1038</v>
      </c>
      <c r="E170" s="5">
        <v>19690129</v>
      </c>
      <c r="F170" s="5" t="s">
        <v>36</v>
      </c>
      <c r="G170" s="5" t="s">
        <v>1039</v>
      </c>
      <c r="H170" s="5" t="s">
        <v>38</v>
      </c>
      <c r="I170" s="5" t="s">
        <v>1040</v>
      </c>
      <c r="J170" s="5"/>
      <c r="K170" s="5"/>
      <c r="L170" s="5"/>
      <c r="M170" s="5"/>
      <c r="N170" s="5"/>
      <c r="O170" s="5"/>
      <c r="P170" s="5"/>
      <c r="Q170" s="5"/>
      <c r="R170" s="4"/>
      <c r="S170" s="4"/>
      <c r="T170" s="5" t="str">
        <f>IF(AND(R170="", S170=""), "대기자", IF(AND(R170&lt;&gt;"", S170=""), "취업 중", IF(AND(R170="", S170&lt;&gt;""), "대기자", IF(R170=S170, "", IF(R170 &lt; S170, "대기자", "취업 중")))))</f>
        <v>대기자</v>
      </c>
      <c r="U170" s="5" t="str">
        <f>IF(J170=""," ",IF(ISNUMBER(SEARCH("소형",J170)),"소형","대형"))</f>
        <v xml:space="preserve"> </v>
      </c>
      <c r="V170" s="4">
        <v>38718</v>
      </c>
      <c r="W170" s="5"/>
      <c r="X170" s="5"/>
      <c r="Y170" s="5"/>
      <c r="Z170" s="13"/>
      <c r="AA170" s="13"/>
      <c r="AB170" s="13"/>
      <c r="AC170" s="13"/>
      <c r="AD170" s="13"/>
      <c r="AE170" s="15"/>
      <c r="AF170" s="15"/>
      <c r="AG170" s="15"/>
      <c r="AH170" s="15"/>
      <c r="AI170" s="6"/>
    </row>
    <row r="171" spans="1:35" ht="19.899999999999999" customHeight="1" x14ac:dyDescent="0.25">
      <c r="A171" s="5">
        <v>168</v>
      </c>
      <c r="B171" s="5" t="s">
        <v>33</v>
      </c>
      <c r="C171" s="5" t="s">
        <v>1041</v>
      </c>
      <c r="D171" s="5" t="s">
        <v>72</v>
      </c>
      <c r="E171" s="5">
        <v>19710604</v>
      </c>
      <c r="F171" s="5" t="s">
        <v>36</v>
      </c>
      <c r="G171" s="5" t="s">
        <v>1042</v>
      </c>
      <c r="H171" s="5" t="s">
        <v>38</v>
      </c>
      <c r="I171" s="5" t="s">
        <v>1043</v>
      </c>
      <c r="J171" s="5" t="s">
        <v>87</v>
      </c>
      <c r="K171" s="5" t="s">
        <v>128</v>
      </c>
      <c r="L171" s="5" t="s">
        <v>1044</v>
      </c>
      <c r="M171" s="5" t="s">
        <v>190</v>
      </c>
      <c r="N171" s="5" t="s">
        <v>191</v>
      </c>
      <c r="O171" s="5" t="s">
        <v>38</v>
      </c>
      <c r="P171" s="5" t="s">
        <v>64</v>
      </c>
      <c r="Q171" s="5" t="s">
        <v>1045</v>
      </c>
      <c r="R171" s="4">
        <v>46293</v>
      </c>
      <c r="S171" s="4">
        <v>45978</v>
      </c>
      <c r="T171" s="5" t="str">
        <f>IF(AND(R171="", S171=""), "대기자", IF(AND(R171&lt;&gt;"", S171=""), "취업 중", IF(AND(R171="", S171&lt;&gt;""), "대기자", IF(R171=S171, "", IF(R171 &lt; S171, "대기자", "취업 중")))))</f>
        <v>취업 중</v>
      </c>
      <c r="U171" s="5" t="str">
        <f>IF(J171=""," ",IF(ISNUMBER(SEARCH("소형",J171)),"소형","대형"))</f>
        <v>대형</v>
      </c>
      <c r="V171" s="4">
        <v>43160</v>
      </c>
      <c r="W171" s="5"/>
      <c r="X171" s="5"/>
      <c r="Y171" s="5"/>
      <c r="Z171" s="13">
        <v>6</v>
      </c>
      <c r="AA171" s="13">
        <v>2</v>
      </c>
      <c r="AB171" s="13">
        <v>2</v>
      </c>
      <c r="AC171" s="13"/>
      <c r="AD171" s="13"/>
      <c r="AE171" s="14"/>
      <c r="AF171" s="14"/>
      <c r="AG171" s="14"/>
      <c r="AH171" s="14"/>
      <c r="AI171" s="6">
        <v>2</v>
      </c>
    </row>
    <row r="172" spans="1:35" ht="19.899999999999999" customHeight="1" x14ac:dyDescent="0.25">
      <c r="A172" s="5">
        <v>169</v>
      </c>
      <c r="B172" s="5" t="s">
        <v>33</v>
      </c>
      <c r="C172" s="5" t="s">
        <v>1046</v>
      </c>
      <c r="D172" s="5" t="s">
        <v>67</v>
      </c>
      <c r="E172" s="5">
        <v>19620408</v>
      </c>
      <c r="F172" s="5" t="s">
        <v>36</v>
      </c>
      <c r="G172" s="5" t="s">
        <v>1047</v>
      </c>
      <c r="H172" s="5" t="s">
        <v>38</v>
      </c>
      <c r="I172" s="5" t="s">
        <v>1048</v>
      </c>
      <c r="J172" s="5"/>
      <c r="K172" s="5"/>
      <c r="L172" s="5"/>
      <c r="M172" s="5"/>
      <c r="N172" s="5"/>
      <c r="O172" s="5"/>
      <c r="P172" s="5"/>
      <c r="Q172" s="5"/>
      <c r="R172" s="4">
        <v>45645</v>
      </c>
      <c r="S172" s="4">
        <v>46127</v>
      </c>
      <c r="T172" s="5" t="str">
        <f>IF(AND(R172="", S172=""), "대기자", IF(AND(R172&lt;&gt;"", S172=""), "취업 중", IF(AND(R172="", S172&lt;&gt;""), "대기자", IF(R172=S172, "", IF(R172 &lt; S172, "대기자", "취업 중")))))</f>
        <v>대기자</v>
      </c>
      <c r="U172" s="5" t="str">
        <f>IF(J172=""," ",IF(ISNUMBER(SEARCH("소형",J172)),"소형","대형"))</f>
        <v xml:space="preserve"> </v>
      </c>
      <c r="V172" s="4">
        <v>38961</v>
      </c>
      <c r="W172" s="5"/>
      <c r="X172" s="5"/>
      <c r="Y172" s="5"/>
      <c r="Z172" s="13"/>
      <c r="AA172" s="13"/>
      <c r="AB172" s="13"/>
      <c r="AC172" s="13"/>
      <c r="AD172" s="13"/>
      <c r="AE172" s="15"/>
      <c r="AF172" s="15"/>
      <c r="AG172" s="15" t="s">
        <v>193</v>
      </c>
      <c r="AH172" s="15"/>
      <c r="AI172" s="6"/>
    </row>
    <row r="173" spans="1:35" ht="19.899999999999999" customHeight="1" x14ac:dyDescent="0.25">
      <c r="A173" s="5">
        <v>170</v>
      </c>
      <c r="B173" s="5" t="s">
        <v>33</v>
      </c>
      <c r="C173" s="5" t="s">
        <v>1049</v>
      </c>
      <c r="D173" s="5" t="s">
        <v>285</v>
      </c>
      <c r="E173" s="5">
        <v>19690915</v>
      </c>
      <c r="F173" s="5" t="s">
        <v>36</v>
      </c>
      <c r="G173" s="5" t="s">
        <v>1050</v>
      </c>
      <c r="H173" s="5" t="s">
        <v>38</v>
      </c>
      <c r="I173" s="5" t="s">
        <v>1051</v>
      </c>
      <c r="J173" s="5" t="s">
        <v>1000</v>
      </c>
      <c r="K173" s="5" t="s">
        <v>112</v>
      </c>
      <c r="L173" s="5" t="s">
        <v>1052</v>
      </c>
      <c r="M173" s="5" t="s">
        <v>1053</v>
      </c>
      <c r="N173" s="5" t="s">
        <v>1054</v>
      </c>
      <c r="O173" s="5" t="s">
        <v>38</v>
      </c>
      <c r="P173" s="5" t="s">
        <v>1055</v>
      </c>
      <c r="Q173" s="5" t="s">
        <v>1056</v>
      </c>
      <c r="R173" s="4">
        <v>46122</v>
      </c>
      <c r="S173" s="4">
        <v>45766</v>
      </c>
      <c r="T173" s="5" t="str">
        <f>IF(AND(R173="", S173=""), "대기자", IF(AND(R173&lt;&gt;"", S173=""), "취업 중", IF(AND(R173="", S173&lt;&gt;""), "대기자", IF(R173=S173, "", IF(R173 &lt; S173, "대기자", "취업 중")))))</f>
        <v>취업 중</v>
      </c>
      <c r="U173" s="5" t="str">
        <f>IF(J173=""," ",IF(ISNUMBER(SEARCH("소형",J173)),"소형","대형"))</f>
        <v>대형</v>
      </c>
      <c r="V173" s="4">
        <v>42552</v>
      </c>
      <c r="W173" s="5"/>
      <c r="X173" s="5"/>
      <c r="Y173" s="5"/>
      <c r="Z173" s="13" t="s">
        <v>49</v>
      </c>
      <c r="AA173" s="13" t="s">
        <v>48</v>
      </c>
      <c r="AB173" s="13" t="s">
        <v>48</v>
      </c>
      <c r="AC173" s="13" t="s">
        <v>50</v>
      </c>
      <c r="AD173" s="13" t="s">
        <v>50</v>
      </c>
      <c r="AE173" s="14"/>
      <c r="AF173" s="14"/>
      <c r="AG173" s="14" t="s">
        <v>1057</v>
      </c>
      <c r="AH173" s="14" t="s">
        <v>1058</v>
      </c>
      <c r="AI173" s="6"/>
    </row>
    <row r="174" spans="1:35" ht="19.899999999999999" customHeight="1" x14ac:dyDescent="0.25">
      <c r="A174" s="5">
        <v>171</v>
      </c>
      <c r="B174" s="5" t="s">
        <v>33</v>
      </c>
      <c r="C174" s="5" t="s">
        <v>1059</v>
      </c>
      <c r="D174" s="5" t="s">
        <v>144</v>
      </c>
      <c r="E174" s="5">
        <v>19941105</v>
      </c>
      <c r="F174" s="5" t="s">
        <v>36</v>
      </c>
      <c r="G174" s="5" t="s">
        <v>1060</v>
      </c>
      <c r="H174" s="5" t="s">
        <v>38</v>
      </c>
      <c r="I174" s="5" t="s">
        <v>1061</v>
      </c>
      <c r="J174" s="5" t="s">
        <v>814</v>
      </c>
      <c r="K174" s="5" t="s">
        <v>862</v>
      </c>
      <c r="L174" s="5" t="s">
        <v>863</v>
      </c>
      <c r="M174" s="5" t="s">
        <v>864</v>
      </c>
      <c r="N174" s="5" t="s">
        <v>864</v>
      </c>
      <c r="O174" s="5" t="s">
        <v>38</v>
      </c>
      <c r="P174" s="5" t="s">
        <v>865</v>
      </c>
      <c r="Q174" s="5" t="s">
        <v>866</v>
      </c>
      <c r="R174" s="4">
        <v>45996</v>
      </c>
      <c r="S174" s="4">
        <v>45542</v>
      </c>
      <c r="T174" s="5" t="str">
        <f>IF(AND(R174="", S174=""), "대기자", IF(AND(R174&lt;&gt;"", S174=""), "취업 중", IF(AND(R174="", S174&lt;&gt;""), "대기자", IF(R174=S174, "", IF(R174 &lt; S174, "대기자", "취업 중")))))</f>
        <v>취업 중</v>
      </c>
      <c r="U174" s="5" t="str">
        <f>IF(J174=""," ",IF(ISNUMBER(SEARCH("소형",J174)),"소형","대형"))</f>
        <v>대형</v>
      </c>
      <c r="V174" s="4">
        <v>44896</v>
      </c>
      <c r="W174" s="5"/>
      <c r="X174" s="5"/>
      <c r="Y174" s="5"/>
      <c r="Z174" s="13" t="s">
        <v>82</v>
      </c>
      <c r="AA174" s="13">
        <v>3</v>
      </c>
      <c r="AB174" s="13" t="s">
        <v>49</v>
      </c>
      <c r="AC174" s="13">
        <v>0</v>
      </c>
      <c r="AD174" s="13" t="s">
        <v>48</v>
      </c>
      <c r="AE174" s="15"/>
      <c r="AF174" s="15"/>
      <c r="AG174" s="15" t="s">
        <v>1062</v>
      </c>
      <c r="AH174" s="15" t="s">
        <v>1063</v>
      </c>
      <c r="AI174" s="6"/>
    </row>
    <row r="175" spans="1:35" ht="19.899999999999999" customHeight="1" x14ac:dyDescent="0.25">
      <c r="A175" s="5">
        <v>172</v>
      </c>
      <c r="B175" s="5" t="s">
        <v>33</v>
      </c>
      <c r="C175" s="5" t="s">
        <v>1064</v>
      </c>
      <c r="D175" s="5" t="s">
        <v>179</v>
      </c>
      <c r="E175" s="5">
        <v>19930918</v>
      </c>
      <c r="F175" s="5" t="s">
        <v>36</v>
      </c>
      <c r="G175" s="5" t="s">
        <v>1065</v>
      </c>
      <c r="H175" s="5" t="s">
        <v>38</v>
      </c>
      <c r="I175" s="5" t="s">
        <v>1066</v>
      </c>
      <c r="J175" s="5"/>
      <c r="K175" s="5"/>
      <c r="L175" s="5"/>
      <c r="M175" s="5"/>
      <c r="N175" s="5"/>
      <c r="O175" s="5"/>
      <c r="P175" s="5"/>
      <c r="Q175" s="5"/>
      <c r="R175" s="4">
        <v>45505</v>
      </c>
      <c r="S175" s="4">
        <v>46142</v>
      </c>
      <c r="T175" s="5" t="str">
        <f>IF(AND(R175="", S175=""), "대기자", IF(AND(R175&lt;&gt;"", S175=""), "취업 중", IF(AND(R175="", S175&lt;&gt;""), "대기자", IF(R175=S175, "", IF(R175 &lt; S175, "대기자", "취업 중")))))</f>
        <v>대기자</v>
      </c>
      <c r="U175" s="5" t="str">
        <f>IF(J175=""," ",IF(ISNUMBER(SEARCH("소형",J175)),"소형","대형"))</f>
        <v xml:space="preserve"> </v>
      </c>
      <c r="V175" s="4">
        <v>42994</v>
      </c>
      <c r="W175" s="5"/>
      <c r="X175" s="5"/>
      <c r="Y175" s="5"/>
      <c r="Z175" s="13"/>
      <c r="AA175" s="13"/>
      <c r="AB175" s="13"/>
      <c r="AC175" s="13"/>
      <c r="AD175" s="13"/>
      <c r="AE175" s="14"/>
      <c r="AF175" s="14"/>
      <c r="AG175" s="14"/>
      <c r="AH175" s="14"/>
      <c r="AI175" s="6"/>
    </row>
    <row r="176" spans="1:35" ht="19.899999999999999" customHeight="1" x14ac:dyDescent="0.25">
      <c r="A176" s="5">
        <v>173</v>
      </c>
      <c r="B176" s="5" t="s">
        <v>33</v>
      </c>
      <c r="C176" s="5" t="s">
        <v>1067</v>
      </c>
      <c r="D176" s="5" t="s">
        <v>72</v>
      </c>
      <c r="E176" s="5">
        <v>19620930</v>
      </c>
      <c r="F176" s="5" t="s">
        <v>36</v>
      </c>
      <c r="G176" s="5" t="s">
        <v>1068</v>
      </c>
      <c r="H176" s="5" t="s">
        <v>38</v>
      </c>
      <c r="I176" s="5" t="s">
        <v>1069</v>
      </c>
      <c r="J176" s="5" t="s">
        <v>408</v>
      </c>
      <c r="K176" s="5" t="s">
        <v>916</v>
      </c>
      <c r="L176" s="5" t="s">
        <v>917</v>
      </c>
      <c r="M176" s="5" t="s">
        <v>918</v>
      </c>
      <c r="N176" s="5" t="s">
        <v>919</v>
      </c>
      <c r="O176" s="5" t="s">
        <v>38</v>
      </c>
      <c r="P176" s="5" t="s">
        <v>80</v>
      </c>
      <c r="Q176" s="5" t="s">
        <v>920</v>
      </c>
      <c r="R176" s="4">
        <v>46076</v>
      </c>
      <c r="S176" s="4">
        <v>45524</v>
      </c>
      <c r="T176" s="5" t="str">
        <f>IF(AND(R176="", S176=""), "대기자", IF(AND(R176&lt;&gt;"", S176=""), "취업 중", IF(AND(R176="", S176&lt;&gt;""), "대기자", IF(R176=S176, "", IF(R176 &lt; S176, "대기자", "취업 중")))))</f>
        <v>취업 중</v>
      </c>
      <c r="U176" s="5" t="str">
        <f>IF(J176=""," ",IF(ISNUMBER(SEARCH("소형",J176)),"소형","대형"))</f>
        <v>대형</v>
      </c>
      <c r="V176" s="4">
        <v>41589</v>
      </c>
      <c r="W176" s="5"/>
      <c r="X176" s="5"/>
      <c r="Y176" s="5"/>
      <c r="Z176" s="13" t="s">
        <v>123</v>
      </c>
      <c r="AA176" s="13" t="s">
        <v>49</v>
      </c>
      <c r="AB176" s="13" t="s">
        <v>47</v>
      </c>
      <c r="AC176" s="13" t="s">
        <v>50</v>
      </c>
      <c r="AD176" s="13" t="s">
        <v>49</v>
      </c>
      <c r="AE176" s="15"/>
      <c r="AF176" s="15"/>
      <c r="AG176" s="15"/>
      <c r="AH176" s="15" t="s">
        <v>1070</v>
      </c>
      <c r="AI176" s="6"/>
    </row>
    <row r="177" spans="1:35" ht="19.899999999999999" customHeight="1" x14ac:dyDescent="0.25">
      <c r="A177" s="5">
        <v>174</v>
      </c>
      <c r="B177" s="5" t="s">
        <v>33</v>
      </c>
      <c r="C177" s="5" t="s">
        <v>1071</v>
      </c>
      <c r="D177" s="5" t="s">
        <v>67</v>
      </c>
      <c r="E177" s="5">
        <v>19720202</v>
      </c>
      <c r="F177" s="5" t="s">
        <v>36</v>
      </c>
      <c r="G177" s="5" t="s">
        <v>1072</v>
      </c>
      <c r="H177" s="5" t="s">
        <v>38</v>
      </c>
      <c r="I177" s="5" t="s">
        <v>1073</v>
      </c>
      <c r="J177" s="5" t="s">
        <v>59</v>
      </c>
      <c r="K177" s="5" t="s">
        <v>509</v>
      </c>
      <c r="L177" s="5" t="s">
        <v>510</v>
      </c>
      <c r="M177" s="5" t="s">
        <v>511</v>
      </c>
      <c r="N177" s="5" t="s">
        <v>63</v>
      </c>
      <c r="O177" s="5" t="s">
        <v>38</v>
      </c>
      <c r="P177" s="5" t="s">
        <v>512</v>
      </c>
      <c r="Q177" s="5" t="s">
        <v>513</v>
      </c>
      <c r="R177" s="4">
        <v>45959</v>
      </c>
      <c r="S177" s="4">
        <v>45664</v>
      </c>
      <c r="T177" s="5" t="str">
        <f>IF(AND(R177="", S177=""), "대기자", IF(AND(R177&lt;&gt;"", S177=""), "취업 중", IF(AND(R177="", S177&lt;&gt;""), "대기자", IF(R177=S177, "", IF(R177 &lt; S177, "대기자", "취업 중")))))</f>
        <v>취업 중</v>
      </c>
      <c r="U177" s="5" t="str">
        <f>IF(J177=""," ",IF(ISNUMBER(SEARCH("소형",J177)),"소형","대형"))</f>
        <v>대형</v>
      </c>
      <c r="V177" s="4">
        <v>42684</v>
      </c>
      <c r="W177" s="5"/>
      <c r="X177" s="5"/>
      <c r="Y177" s="5"/>
      <c r="Z177" s="13">
        <v>15</v>
      </c>
      <c r="AA177" s="13">
        <v>6</v>
      </c>
      <c r="AB177" s="13">
        <v>7</v>
      </c>
      <c r="AC177" s="13">
        <v>0</v>
      </c>
      <c r="AD177" s="13">
        <v>2</v>
      </c>
      <c r="AE177" s="14"/>
      <c r="AF177" s="14"/>
      <c r="AG177" s="14" t="s">
        <v>83</v>
      </c>
      <c r="AH177" s="14" t="s">
        <v>1074</v>
      </c>
      <c r="AI177" s="6"/>
    </row>
    <row r="178" spans="1:35" ht="19.899999999999999" customHeight="1" x14ac:dyDescent="0.25">
      <c r="A178" s="5">
        <v>175</v>
      </c>
      <c r="B178" s="5" t="s">
        <v>33</v>
      </c>
      <c r="C178" s="5" t="s">
        <v>1075</v>
      </c>
      <c r="D178" s="5" t="s">
        <v>179</v>
      </c>
      <c r="E178" s="5">
        <v>19740315</v>
      </c>
      <c r="F178" s="5" t="s">
        <v>36</v>
      </c>
      <c r="G178" s="5" t="s">
        <v>1076</v>
      </c>
      <c r="H178" s="5" t="s">
        <v>38</v>
      </c>
      <c r="I178" s="5" t="s">
        <v>1077</v>
      </c>
      <c r="J178" s="5"/>
      <c r="K178" s="5"/>
      <c r="L178" s="5"/>
      <c r="M178" s="5"/>
      <c r="N178" s="5"/>
      <c r="O178" s="5"/>
      <c r="P178" s="5"/>
      <c r="Q178" s="5"/>
      <c r="R178" s="4">
        <v>45785</v>
      </c>
      <c r="S178" s="4">
        <v>46214</v>
      </c>
      <c r="T178" s="5" t="str">
        <f>IF(AND(R178="", S178=""), "대기자", IF(AND(R178&lt;&gt;"", S178=""), "취업 중", IF(AND(R178="", S178&lt;&gt;""), "대기자", IF(R178=S178, "", IF(R178 &lt; S178, "대기자", "취업 중")))))</f>
        <v>대기자</v>
      </c>
      <c r="U178" s="5" t="str">
        <f>IF(J178=""," ",IF(ISNUMBER(SEARCH("소형",J178)),"소형","대형"))</f>
        <v xml:space="preserve"> </v>
      </c>
      <c r="V178" s="4">
        <v>40026</v>
      </c>
      <c r="W178" s="5"/>
      <c r="X178" s="5"/>
      <c r="Y178" s="5"/>
      <c r="Z178" s="13"/>
      <c r="AA178" s="13"/>
      <c r="AB178" s="13"/>
      <c r="AC178" s="13"/>
      <c r="AD178" s="13"/>
      <c r="AE178" s="15" t="s">
        <v>1078</v>
      </c>
      <c r="AF178" s="15" t="s">
        <v>183</v>
      </c>
      <c r="AG178" s="15" t="s">
        <v>193</v>
      </c>
      <c r="AH178" s="15" t="s">
        <v>1079</v>
      </c>
      <c r="AI178" s="6"/>
    </row>
    <row r="179" spans="1:35" ht="19.899999999999999" customHeight="1" x14ac:dyDescent="0.25">
      <c r="A179" s="5">
        <v>176</v>
      </c>
      <c r="B179" s="5" t="s">
        <v>33</v>
      </c>
      <c r="C179" s="5" t="s">
        <v>1080</v>
      </c>
      <c r="D179" s="5" t="s">
        <v>67</v>
      </c>
      <c r="E179" s="5">
        <v>20000404</v>
      </c>
      <c r="F179" s="5" t="s">
        <v>36</v>
      </c>
      <c r="G179" s="5" t="s">
        <v>1081</v>
      </c>
      <c r="H179" s="5" t="s">
        <v>298</v>
      </c>
      <c r="I179" s="5" t="s">
        <v>1082</v>
      </c>
      <c r="J179" s="5" t="s">
        <v>102</v>
      </c>
      <c r="K179" s="5" t="s">
        <v>102</v>
      </c>
      <c r="L179" s="5" t="s">
        <v>1083</v>
      </c>
      <c r="M179" s="5" t="s">
        <v>238</v>
      </c>
      <c r="N179" s="5" t="s">
        <v>239</v>
      </c>
      <c r="O179" s="5" t="s">
        <v>1084</v>
      </c>
      <c r="P179" s="5"/>
      <c r="Q179" s="5" t="s">
        <v>1085</v>
      </c>
      <c r="R179" s="4">
        <v>46154</v>
      </c>
      <c r="S179" s="4">
        <v>45898</v>
      </c>
      <c r="T179" s="5" t="str">
        <f>IF(AND(R179="", S179=""), "대기자", IF(AND(R179&lt;&gt;"", S179=""), "취업 중", IF(AND(R179="", S179&lt;&gt;""), "대기자", IF(R179=S179, "", IF(R179 &lt; S179, "대기자", "취업 중")))))</f>
        <v>취업 중</v>
      </c>
      <c r="U179" s="5" t="str">
        <f>IF(J179=""," ",IF(ISNUMBER(SEARCH("소형",J179)),"소형","대형"))</f>
        <v>소형</v>
      </c>
      <c r="V179" s="4">
        <v>45972</v>
      </c>
      <c r="W179" s="5"/>
      <c r="X179" s="5" t="s">
        <v>1086</v>
      </c>
      <c r="Y179" s="5" t="s">
        <v>1087</v>
      </c>
      <c r="Z179" s="13"/>
      <c r="AA179" s="13"/>
      <c r="AB179" s="13"/>
      <c r="AC179" s="13"/>
      <c r="AD179" s="13"/>
      <c r="AE179" s="14"/>
      <c r="AF179" s="14"/>
      <c r="AG179" s="14"/>
      <c r="AH179" s="14"/>
      <c r="AI179" s="6"/>
    </row>
    <row r="180" spans="1:35" ht="19.899999999999999" customHeight="1" x14ac:dyDescent="0.25">
      <c r="A180" s="5">
        <v>177</v>
      </c>
      <c r="B180" s="5" t="s">
        <v>33</v>
      </c>
      <c r="C180" s="5" t="s">
        <v>1088</v>
      </c>
      <c r="D180" s="5" t="s">
        <v>285</v>
      </c>
      <c r="E180" s="5">
        <v>19701107</v>
      </c>
      <c r="F180" s="5" t="s">
        <v>36</v>
      </c>
      <c r="G180" s="5" t="s">
        <v>1089</v>
      </c>
      <c r="H180" s="5" t="s">
        <v>38</v>
      </c>
      <c r="I180" s="5" t="s">
        <v>1090</v>
      </c>
      <c r="J180" s="5"/>
      <c r="K180" s="5"/>
      <c r="L180" s="5"/>
      <c r="M180" s="5"/>
      <c r="N180" s="5"/>
      <c r="O180" s="5"/>
      <c r="P180" s="5"/>
      <c r="Q180" s="5"/>
      <c r="R180" s="4">
        <v>45827</v>
      </c>
      <c r="S180" s="4">
        <v>46235</v>
      </c>
      <c r="T180" s="5" t="str">
        <f>IF(AND(R180="", S180=""), "대기자", IF(AND(R180&lt;&gt;"", S180=""), "취업 중", IF(AND(R180="", S180&lt;&gt;""), "대기자", IF(R180=S180, "", IF(R180 &lt; S180, "대기자", "취업 중")))))</f>
        <v>대기자</v>
      </c>
      <c r="U180" s="5" t="str">
        <f>IF(J180=""," ",IF(ISNUMBER(SEARCH("소형",J180)),"소형","대형"))</f>
        <v xml:space="preserve"> </v>
      </c>
      <c r="V180" s="4">
        <v>42993</v>
      </c>
      <c r="W180" s="5"/>
      <c r="X180" s="5"/>
      <c r="Y180" s="5"/>
      <c r="Z180" s="13"/>
      <c r="AA180" s="13"/>
      <c r="AB180" s="13"/>
      <c r="AC180" s="13"/>
      <c r="AD180" s="13"/>
      <c r="AE180" s="15"/>
      <c r="AF180" s="15"/>
      <c r="AG180" s="15" t="s">
        <v>83</v>
      </c>
      <c r="AH180" s="15" t="s">
        <v>1091</v>
      </c>
      <c r="AI180" s="6"/>
    </row>
    <row r="181" spans="1:35" ht="19.899999999999999" customHeight="1" x14ac:dyDescent="0.25">
      <c r="A181" s="5">
        <v>178</v>
      </c>
      <c r="B181" s="5" t="s">
        <v>33</v>
      </c>
      <c r="C181" s="5" t="s">
        <v>1092</v>
      </c>
      <c r="D181" s="5" t="s">
        <v>56</v>
      </c>
      <c r="E181" s="5">
        <v>19980531</v>
      </c>
      <c r="F181" s="5" t="s">
        <v>52</v>
      </c>
      <c r="G181" s="5" t="s">
        <v>1093</v>
      </c>
      <c r="H181" s="5" t="s">
        <v>38</v>
      </c>
      <c r="I181" s="5" t="s">
        <v>1094</v>
      </c>
      <c r="J181" s="5" t="s">
        <v>102</v>
      </c>
      <c r="K181" s="5" t="s">
        <v>102</v>
      </c>
      <c r="L181" s="5" t="s">
        <v>1095</v>
      </c>
      <c r="M181" s="5" t="s">
        <v>1096</v>
      </c>
      <c r="N181" s="5" t="s">
        <v>1097</v>
      </c>
      <c r="O181" s="5" t="s">
        <v>38</v>
      </c>
      <c r="P181" s="5" t="s">
        <v>80</v>
      </c>
      <c r="Q181" s="5" t="s">
        <v>1098</v>
      </c>
      <c r="R181" s="4">
        <v>45962</v>
      </c>
      <c r="S181" s="4">
        <v>45757</v>
      </c>
      <c r="T181" s="5" t="str">
        <f>IF(AND(R181="", S181=""), "대기자", IF(AND(R181&lt;&gt;"", S181=""), "취업 중", IF(AND(R181="", S181&lt;&gt;""), "대기자", IF(R181=S181, "", IF(R181 &lt; S181, "대기자", "취업 중")))))</f>
        <v>취업 중</v>
      </c>
      <c r="U181" s="5" t="str">
        <f>IF(J181=""," ",IF(ISNUMBER(SEARCH("소형",J181)),"소형","대형"))</f>
        <v>소형</v>
      </c>
      <c r="V181" s="4">
        <v>45627</v>
      </c>
      <c r="W181" s="5"/>
      <c r="X181" s="5" t="s">
        <v>1099</v>
      </c>
      <c r="Y181" s="5" t="s">
        <v>1100</v>
      </c>
      <c r="Z181" s="13"/>
      <c r="AA181" s="13"/>
      <c r="AB181" s="13"/>
      <c r="AC181" s="13"/>
      <c r="AD181" s="13"/>
      <c r="AE181" s="14"/>
      <c r="AF181" s="14"/>
      <c r="AG181" s="14"/>
      <c r="AH181" s="14"/>
      <c r="AI181" s="6"/>
    </row>
    <row r="182" spans="1:35" ht="19.899999999999999" customHeight="1" x14ac:dyDescent="0.25">
      <c r="A182" s="5">
        <v>179</v>
      </c>
      <c r="B182" s="5" t="s">
        <v>33</v>
      </c>
      <c r="C182" s="5" t="s">
        <v>1101</v>
      </c>
      <c r="D182" s="5" t="s">
        <v>144</v>
      </c>
      <c r="E182" s="5">
        <v>19800202</v>
      </c>
      <c r="F182" s="5" t="s">
        <v>36</v>
      </c>
      <c r="G182" s="5" t="s">
        <v>1102</v>
      </c>
      <c r="H182" s="5" t="s">
        <v>38</v>
      </c>
      <c r="I182" s="5" t="s">
        <v>1103</v>
      </c>
      <c r="J182" s="5" t="s">
        <v>147</v>
      </c>
      <c r="K182" s="5" t="s">
        <v>112</v>
      </c>
      <c r="L182" s="5" t="s">
        <v>1104</v>
      </c>
      <c r="M182" s="5"/>
      <c r="N182" s="5"/>
      <c r="O182" s="5" t="s">
        <v>38</v>
      </c>
      <c r="P182" s="5" t="s">
        <v>512</v>
      </c>
      <c r="Q182" s="5" t="s">
        <v>1105</v>
      </c>
      <c r="R182" s="4">
        <v>46272</v>
      </c>
      <c r="S182" s="4">
        <v>45981</v>
      </c>
      <c r="T182" s="5" t="str">
        <f>IF(AND(R182="", S182=""), "대기자", IF(AND(R182&lt;&gt;"", S182=""), "취업 중", IF(AND(R182="", S182&lt;&gt;""), "대기자", IF(R182=S182, "", IF(R182 &lt; S182, "대기자", "취업 중")))))</f>
        <v>취업 중</v>
      </c>
      <c r="U182" s="5" t="str">
        <f>IF(J182=""," ",IF(ISNUMBER(SEARCH("소형",J182)),"소형","대형"))</f>
        <v>대형</v>
      </c>
      <c r="V182" s="4">
        <v>41498</v>
      </c>
      <c r="W182" s="5"/>
      <c r="X182" s="5"/>
      <c r="Y182" s="5"/>
      <c r="Z182" s="13">
        <v>4</v>
      </c>
      <c r="AA182" s="13">
        <v>1</v>
      </c>
      <c r="AB182" s="13">
        <v>2</v>
      </c>
      <c r="AC182" s="13">
        <v>1</v>
      </c>
      <c r="AD182" s="13">
        <v>0</v>
      </c>
      <c r="AE182" s="15"/>
      <c r="AF182" s="15"/>
      <c r="AG182" s="15"/>
      <c r="AH182" s="15"/>
      <c r="AI182" s="6"/>
    </row>
    <row r="183" spans="1:35" ht="19.899999999999999" customHeight="1" x14ac:dyDescent="0.25">
      <c r="A183" s="5">
        <v>180</v>
      </c>
      <c r="B183" s="5" t="s">
        <v>33</v>
      </c>
      <c r="C183" s="5" t="s">
        <v>1106</v>
      </c>
      <c r="D183" s="5" t="s">
        <v>144</v>
      </c>
      <c r="E183" s="5">
        <v>19790713</v>
      </c>
      <c r="F183" s="5" t="s">
        <v>52</v>
      </c>
      <c r="G183" s="5" t="s">
        <v>1107</v>
      </c>
      <c r="H183" s="5" t="s">
        <v>38</v>
      </c>
      <c r="I183" s="5" t="s">
        <v>1108</v>
      </c>
      <c r="J183" s="5"/>
      <c r="K183" s="5"/>
      <c r="L183" s="5"/>
      <c r="M183" s="5"/>
      <c r="N183" s="5"/>
      <c r="O183" s="5"/>
      <c r="P183" s="5"/>
      <c r="Q183" s="5"/>
      <c r="R183" s="4">
        <v>45890</v>
      </c>
      <c r="S183" s="4">
        <v>46133</v>
      </c>
      <c r="T183" s="5" t="str">
        <f>IF(AND(R183="", S183=""), "대기자", IF(AND(R183&lt;&gt;"", S183=""), "취업 중", IF(AND(R183="", S183&lt;&gt;""), "대기자", IF(R183=S183, "", IF(R183 &lt; S183, "대기자", "취업 중")))))</f>
        <v>대기자</v>
      </c>
      <c r="U183" s="5" t="str">
        <f>IF(J183=""," ",IF(ISNUMBER(SEARCH("소형",J183)),"소형","대형"))</f>
        <v xml:space="preserve"> </v>
      </c>
      <c r="V183" s="4">
        <v>45078</v>
      </c>
      <c r="W183" s="5"/>
      <c r="X183" s="5"/>
      <c r="Y183" s="5"/>
      <c r="Z183" s="13"/>
      <c r="AA183" s="13"/>
      <c r="AB183" s="13"/>
      <c r="AC183" s="13"/>
      <c r="AD183" s="13"/>
      <c r="AE183" s="14"/>
      <c r="AF183" s="14"/>
      <c r="AG183" s="14"/>
      <c r="AH183" s="14"/>
      <c r="AI183" s="6"/>
    </row>
    <row r="184" spans="1:35" ht="19.899999999999999" customHeight="1" x14ac:dyDescent="0.25">
      <c r="A184" s="5">
        <v>181</v>
      </c>
      <c r="B184" s="5" t="s">
        <v>33</v>
      </c>
      <c r="C184" s="5" t="s">
        <v>1109</v>
      </c>
      <c r="D184" s="5" t="s">
        <v>144</v>
      </c>
      <c r="E184" s="5">
        <v>19660702</v>
      </c>
      <c r="F184" s="5" t="s">
        <v>36</v>
      </c>
      <c r="G184" s="5" t="s">
        <v>1110</v>
      </c>
      <c r="H184" s="5" t="s">
        <v>38</v>
      </c>
      <c r="I184" s="5" t="s">
        <v>1111</v>
      </c>
      <c r="J184" s="5" t="s">
        <v>1112</v>
      </c>
      <c r="K184" s="5" t="s">
        <v>138</v>
      </c>
      <c r="L184" s="5" t="s">
        <v>1113</v>
      </c>
      <c r="M184" s="5" t="s">
        <v>1114</v>
      </c>
      <c r="N184" s="5" t="s">
        <v>1115</v>
      </c>
      <c r="O184" s="5" t="s">
        <v>38</v>
      </c>
      <c r="P184" s="5" t="s">
        <v>45</v>
      </c>
      <c r="Q184" s="5" t="s">
        <v>1116</v>
      </c>
      <c r="R184" s="4">
        <v>46144</v>
      </c>
      <c r="S184" s="4">
        <v>45766</v>
      </c>
      <c r="T184" s="5" t="str">
        <f>IF(AND(R184="", S184=""), "대기자", IF(AND(R184&lt;&gt;"", S184=""), "취업 중", IF(AND(R184="", S184&lt;&gt;""), "대기자", IF(R184=S184, "", IF(R184 &lt; S184, "대기자", "취업 중")))))</f>
        <v>취업 중</v>
      </c>
      <c r="U184" s="5" t="str">
        <f>IF(J184=""," ",IF(ISNUMBER(SEARCH("소형",J184)),"소형","대형"))</f>
        <v>대형</v>
      </c>
      <c r="V184" s="4">
        <v>38411</v>
      </c>
      <c r="W184" s="5"/>
      <c r="X184" s="5"/>
      <c r="Y184" s="5"/>
      <c r="Z184" s="13" t="s">
        <v>94</v>
      </c>
      <c r="AA184" s="13" t="s">
        <v>48</v>
      </c>
      <c r="AB184" s="13" t="s">
        <v>49</v>
      </c>
      <c r="AC184" s="13" t="s">
        <v>50</v>
      </c>
      <c r="AD184" s="13" t="s">
        <v>49</v>
      </c>
      <c r="AE184" s="15"/>
      <c r="AF184" s="15"/>
      <c r="AG184" s="15"/>
      <c r="AH184" s="15" t="s">
        <v>1117</v>
      </c>
      <c r="AI184" s="6"/>
    </row>
    <row r="185" spans="1:35" ht="19.899999999999999" customHeight="1" x14ac:dyDescent="0.25">
      <c r="A185" s="5">
        <v>182</v>
      </c>
      <c r="B185" s="5" t="s">
        <v>33</v>
      </c>
      <c r="C185" s="5" t="s">
        <v>1118</v>
      </c>
      <c r="D185" s="5" t="s">
        <v>99</v>
      </c>
      <c r="E185" s="5">
        <v>19621028</v>
      </c>
      <c r="F185" s="5" t="s">
        <v>36</v>
      </c>
      <c r="G185" s="5" t="s">
        <v>1119</v>
      </c>
      <c r="H185" s="5" t="s">
        <v>38</v>
      </c>
      <c r="I185" s="5" t="s">
        <v>1120</v>
      </c>
      <c r="J185" s="5" t="s">
        <v>1121</v>
      </c>
      <c r="K185" s="5" t="s">
        <v>1122</v>
      </c>
      <c r="L185" s="5" t="s">
        <v>1123</v>
      </c>
      <c r="M185" s="5" t="s">
        <v>1124</v>
      </c>
      <c r="N185" s="5" t="s">
        <v>1125</v>
      </c>
      <c r="O185" s="5" t="s">
        <v>38</v>
      </c>
      <c r="P185" s="5" t="s">
        <v>64</v>
      </c>
      <c r="Q185" s="5" t="s">
        <v>1126</v>
      </c>
      <c r="R185" s="4">
        <v>45982</v>
      </c>
      <c r="S185" s="4">
        <v>45897</v>
      </c>
      <c r="T185" s="5" t="str">
        <f>IF(AND(R185="", S185=""), "대기자", IF(AND(R185&lt;&gt;"", S185=""), "취업 중", IF(AND(R185="", S185&lt;&gt;""), "대기자", IF(R185=S185, "", IF(R185 &lt; S185, "대기자", "취업 중")))))</f>
        <v>취업 중</v>
      </c>
      <c r="U185" s="5" t="str">
        <f>IF(J185=""," ",IF(ISNUMBER(SEARCH("소형",J185)),"소형","대형"))</f>
        <v>대형</v>
      </c>
      <c r="V185" s="4">
        <v>42975</v>
      </c>
      <c r="W185" s="5"/>
      <c r="X185" s="5"/>
      <c r="Y185" s="5"/>
      <c r="Z185" s="13" t="s">
        <v>118</v>
      </c>
      <c r="AA185" s="13" t="s">
        <v>48</v>
      </c>
      <c r="AB185" s="13" t="s">
        <v>47</v>
      </c>
      <c r="AC185" s="13" t="s">
        <v>48</v>
      </c>
      <c r="AD185" s="13" t="s">
        <v>48</v>
      </c>
      <c r="AE185" s="14"/>
      <c r="AF185" s="14"/>
      <c r="AG185" s="14" t="s">
        <v>336</v>
      </c>
      <c r="AH185" s="14" t="s">
        <v>1127</v>
      </c>
      <c r="AI185" s="6"/>
    </row>
    <row r="186" spans="1:35" ht="19.899999999999999" customHeight="1" x14ac:dyDescent="0.25">
      <c r="A186" s="5">
        <v>183</v>
      </c>
      <c r="B186" s="5" t="s">
        <v>33</v>
      </c>
      <c r="C186" s="5" t="s">
        <v>1128</v>
      </c>
      <c r="D186" s="5" t="s">
        <v>285</v>
      </c>
      <c r="E186" s="5">
        <v>19770222</v>
      </c>
      <c r="F186" s="5" t="s">
        <v>36</v>
      </c>
      <c r="G186" s="5" t="s">
        <v>1129</v>
      </c>
      <c r="H186" s="5" t="s">
        <v>38</v>
      </c>
      <c r="I186" s="19" t="s">
        <v>1130</v>
      </c>
      <c r="J186" s="5"/>
      <c r="K186" s="5"/>
      <c r="L186" s="5"/>
      <c r="M186" s="5"/>
      <c r="N186" s="5"/>
      <c r="O186" s="5"/>
      <c r="P186" s="5"/>
      <c r="Q186" s="5"/>
      <c r="R186" s="4">
        <v>45979</v>
      </c>
      <c r="S186" s="4">
        <v>46288</v>
      </c>
      <c r="T186" s="5" t="str">
        <f>IF(AND(R186="", S186=""), "대기자", IF(AND(R186&lt;&gt;"", S186=""), "취업 중", IF(AND(R186="", S186&lt;&gt;""), "대기자", IF(R186=S186, "", IF(R186 &lt; S186, "대기자", "취업 중")))))</f>
        <v>대기자</v>
      </c>
      <c r="U186" s="5"/>
      <c r="V186" s="4">
        <v>43632</v>
      </c>
      <c r="W186" s="5"/>
      <c r="X186" s="5"/>
      <c r="Y186" s="5"/>
      <c r="Z186" s="13"/>
      <c r="AA186" s="13"/>
      <c r="AB186" s="13"/>
      <c r="AC186" s="13"/>
      <c r="AD186" s="13"/>
      <c r="AE186" s="15"/>
      <c r="AF186" s="15"/>
      <c r="AG186" s="15" t="s">
        <v>184</v>
      </c>
      <c r="AH186" s="15" t="s">
        <v>1131</v>
      </c>
      <c r="AI186" s="6"/>
    </row>
    <row r="187" spans="1:35" ht="19.899999999999999" customHeight="1" x14ac:dyDescent="0.25">
      <c r="A187" s="5">
        <v>184</v>
      </c>
      <c r="B187" s="5" t="s">
        <v>33</v>
      </c>
      <c r="C187" s="5" t="s">
        <v>1128</v>
      </c>
      <c r="D187" s="5" t="s">
        <v>144</v>
      </c>
      <c r="E187" s="5">
        <v>19890815</v>
      </c>
      <c r="F187" s="5" t="s">
        <v>36</v>
      </c>
      <c r="G187" s="5" t="s">
        <v>1132</v>
      </c>
      <c r="H187" s="5" t="s">
        <v>38</v>
      </c>
      <c r="I187" s="5" t="s">
        <v>1133</v>
      </c>
      <c r="J187" s="5" t="s">
        <v>263</v>
      </c>
      <c r="K187" s="5" t="s">
        <v>712</v>
      </c>
      <c r="L187" s="5" t="s">
        <v>713</v>
      </c>
      <c r="M187" s="5" t="s">
        <v>714</v>
      </c>
      <c r="N187" s="5" t="s">
        <v>715</v>
      </c>
      <c r="O187" s="5" t="s">
        <v>38</v>
      </c>
      <c r="P187" s="5" t="s">
        <v>512</v>
      </c>
      <c r="Q187" s="5" t="s">
        <v>716</v>
      </c>
      <c r="R187" s="4">
        <v>45992</v>
      </c>
      <c r="S187" s="4">
        <v>45575</v>
      </c>
      <c r="T187" s="5" t="str">
        <f>IF(AND(R187="", S187=""), "대기자", IF(AND(R187&lt;&gt;"", S187=""), "취업 중", IF(AND(R187="", S187&lt;&gt;""), "대기자", IF(R187=S187, "", IF(R187 &lt; S187, "대기자", "취업 중")))))</f>
        <v>취업 중</v>
      </c>
      <c r="U187" s="5" t="str">
        <f>IF(J187=""," ",IF(ISNUMBER(SEARCH("소형",J187)),"소형","대형"))</f>
        <v>대형</v>
      </c>
      <c r="V187" s="4">
        <v>44564</v>
      </c>
      <c r="W187" s="5"/>
      <c r="X187" s="5"/>
      <c r="Y187" s="5"/>
      <c r="Z187" s="13" t="s">
        <v>47</v>
      </c>
      <c r="AA187" s="13" t="s">
        <v>49</v>
      </c>
      <c r="AB187" s="13" t="s">
        <v>48</v>
      </c>
      <c r="AC187" s="13" t="s">
        <v>48</v>
      </c>
      <c r="AD187" s="13" t="s">
        <v>50</v>
      </c>
      <c r="AE187" s="14"/>
      <c r="AF187" s="14"/>
      <c r="AG187" s="14" t="s">
        <v>117</v>
      </c>
      <c r="AH187" s="14" t="s">
        <v>1134</v>
      </c>
      <c r="AI187" s="6"/>
    </row>
    <row r="188" spans="1:35" ht="19.899999999999999" customHeight="1" x14ac:dyDescent="0.25">
      <c r="A188" s="5">
        <v>185</v>
      </c>
      <c r="B188" s="5" t="s">
        <v>33</v>
      </c>
      <c r="C188" s="5" t="s">
        <v>1135</v>
      </c>
      <c r="D188" s="5" t="s">
        <v>144</v>
      </c>
      <c r="E188" s="5">
        <v>19750704</v>
      </c>
      <c r="F188" s="5" t="s">
        <v>36</v>
      </c>
      <c r="G188" s="5" t="s">
        <v>1136</v>
      </c>
      <c r="H188" s="5" t="s">
        <v>38</v>
      </c>
      <c r="I188" s="19" t="s">
        <v>1137</v>
      </c>
      <c r="J188" s="5" t="s">
        <v>59</v>
      </c>
      <c r="K188" s="5" t="s">
        <v>112</v>
      </c>
      <c r="L188" s="5" t="s">
        <v>113</v>
      </c>
      <c r="M188" s="5" t="s">
        <v>62</v>
      </c>
      <c r="N188" s="5" t="s">
        <v>1138</v>
      </c>
      <c r="O188" s="5" t="s">
        <v>38</v>
      </c>
      <c r="P188" s="5" t="s">
        <v>64</v>
      </c>
      <c r="Q188" s="5" t="s">
        <v>65</v>
      </c>
      <c r="R188" s="4">
        <v>46133</v>
      </c>
      <c r="S188" s="4">
        <v>45981</v>
      </c>
      <c r="T188" s="5" t="str">
        <f>IF(AND(R188="", S188=""), "대기자", IF(AND(R188&lt;&gt;"", S188=""), "취업 중", IF(AND(R188="", S188&lt;&gt;""), "대기자", IF(R188=S188, "", IF(R188 &lt; S188, "대기자", "취업 중")))))</f>
        <v>취업 중</v>
      </c>
      <c r="U188" s="5" t="str">
        <f>IF(J188=""," ",IF(ISNUMBER(SEARCH("소형",J188)),"소형","대형"))</f>
        <v>대형</v>
      </c>
      <c r="V188" s="4">
        <v>38408</v>
      </c>
      <c r="W188" s="5"/>
      <c r="X188" s="5"/>
      <c r="Y188" s="5"/>
      <c r="Z188" s="13">
        <v>23</v>
      </c>
      <c r="AA188" s="13">
        <v>10</v>
      </c>
      <c r="AB188" s="13">
        <v>10</v>
      </c>
      <c r="AC188" s="13">
        <v>1</v>
      </c>
      <c r="AD188" s="13">
        <v>2</v>
      </c>
      <c r="AE188" s="15"/>
      <c r="AF188" s="15"/>
      <c r="AG188" s="15"/>
      <c r="AH188" s="15" t="s">
        <v>1139</v>
      </c>
      <c r="AI188" s="6"/>
    </row>
    <row r="189" spans="1:35" ht="19.899999999999999" customHeight="1" x14ac:dyDescent="0.25">
      <c r="A189" s="5">
        <v>186</v>
      </c>
      <c r="B189" s="5" t="s">
        <v>33</v>
      </c>
      <c r="C189" s="5" t="s">
        <v>1135</v>
      </c>
      <c r="D189" s="5" t="s">
        <v>526</v>
      </c>
      <c r="E189" s="5">
        <v>19740620</v>
      </c>
      <c r="F189" s="5" t="s">
        <v>36</v>
      </c>
      <c r="G189" s="5" t="s">
        <v>1140</v>
      </c>
      <c r="H189" s="5" t="s">
        <v>38</v>
      </c>
      <c r="I189" s="5" t="s">
        <v>1141</v>
      </c>
      <c r="J189" s="5"/>
      <c r="K189" s="5"/>
      <c r="L189" s="5" t="str">
        <f>L204</f>
        <v>오피스텔 및 그린생활시설 신축공사</v>
      </c>
      <c r="M189" s="5"/>
      <c r="N189" s="5"/>
      <c r="O189" s="5"/>
      <c r="P189" s="5"/>
      <c r="Q189" s="5"/>
      <c r="R189" s="4">
        <v>45642</v>
      </c>
      <c r="S189" s="4">
        <v>46135</v>
      </c>
      <c r="T189" s="5" t="str">
        <f>IF(AND(R189="", S189=""), "대기자", IF(AND(R189&lt;&gt;"", S189=""), "취업 중", IF(AND(R189="", S189&lt;&gt;""), "대기자", IF(R189=S189, "", IF(R189 &lt; S189, "대기자", "취업 중")))))</f>
        <v>대기자</v>
      </c>
      <c r="U189" s="5" t="str">
        <f>IF(J189=""," ",IF(ISNUMBER(SEARCH("소형",J189)),"소형","대형"))</f>
        <v xml:space="preserve"> </v>
      </c>
      <c r="V189" s="4">
        <v>42205</v>
      </c>
      <c r="W189" s="5"/>
      <c r="X189" s="5"/>
      <c r="Y189" s="5"/>
      <c r="Z189" s="13"/>
      <c r="AA189" s="13"/>
      <c r="AB189" s="13"/>
      <c r="AC189" s="13"/>
      <c r="AD189" s="13"/>
      <c r="AE189" s="14"/>
      <c r="AF189" s="14"/>
      <c r="AG189" s="14"/>
      <c r="AH189" s="14"/>
      <c r="AI189" s="6"/>
    </row>
    <row r="190" spans="1:35" ht="19.899999999999999" customHeight="1" x14ac:dyDescent="0.25">
      <c r="A190" s="5">
        <v>187</v>
      </c>
      <c r="B190" s="5" t="s">
        <v>33</v>
      </c>
      <c r="C190" s="5" t="s">
        <v>1142</v>
      </c>
      <c r="D190" s="5" t="s">
        <v>179</v>
      </c>
      <c r="E190" s="5">
        <v>19840608</v>
      </c>
      <c r="F190" s="5" t="s">
        <v>36</v>
      </c>
      <c r="G190" s="5" t="s">
        <v>1143</v>
      </c>
      <c r="H190" s="5" t="s">
        <v>38</v>
      </c>
      <c r="I190" s="5" t="s">
        <v>1144</v>
      </c>
      <c r="J190" s="5" t="s">
        <v>1145</v>
      </c>
      <c r="K190" s="5" t="s">
        <v>1146</v>
      </c>
      <c r="L190" s="5" t="s">
        <v>1147</v>
      </c>
      <c r="M190" s="5" t="s">
        <v>1148</v>
      </c>
      <c r="N190" s="5" t="s">
        <v>1149</v>
      </c>
      <c r="O190" s="5" t="s">
        <v>38</v>
      </c>
      <c r="P190" s="5" t="s">
        <v>402</v>
      </c>
      <c r="Q190" s="5" t="s">
        <v>1150</v>
      </c>
      <c r="R190" s="4">
        <v>46041</v>
      </c>
      <c r="S190" s="4">
        <v>45223</v>
      </c>
      <c r="T190" s="5" t="str">
        <f>IF(AND(R190="", S190=""), "대기자", IF(AND(R190&lt;&gt;"", S190=""), "취업 중", IF(AND(R190="", S190&lt;&gt;""), "대기자", IF(R190=S190, "", IF(R190 &lt; S190, "대기자", "취업 중")))))</f>
        <v>취업 중</v>
      </c>
      <c r="U190" s="5" t="str">
        <f>IF(J190=""," ",IF(ISNUMBER(SEARCH("소형",J190)),"소형","대형"))</f>
        <v>대형</v>
      </c>
      <c r="V190" s="4">
        <v>44564</v>
      </c>
      <c r="W190" s="5"/>
      <c r="X190" s="5"/>
      <c r="Y190" s="5"/>
      <c r="Z190" s="13" t="s">
        <v>47</v>
      </c>
      <c r="AA190" s="13" t="s">
        <v>48</v>
      </c>
      <c r="AB190" s="13" t="s">
        <v>48</v>
      </c>
      <c r="AC190" s="13" t="s">
        <v>50</v>
      </c>
      <c r="AD190" s="13" t="s">
        <v>49</v>
      </c>
      <c r="AE190" s="15" t="s">
        <v>182</v>
      </c>
      <c r="AF190" s="15" t="s">
        <v>182</v>
      </c>
      <c r="AG190" s="15" t="s">
        <v>184</v>
      </c>
      <c r="AH190" s="15" t="s">
        <v>1151</v>
      </c>
      <c r="AI190" s="6"/>
    </row>
    <row r="191" spans="1:35" ht="19.899999999999999" customHeight="1" x14ac:dyDescent="0.25">
      <c r="A191" s="5">
        <v>188</v>
      </c>
      <c r="B191" s="5" t="s">
        <v>33</v>
      </c>
      <c r="C191" s="5" t="s">
        <v>1152</v>
      </c>
      <c r="D191" s="5" t="s">
        <v>179</v>
      </c>
      <c r="E191" s="5">
        <v>19860920</v>
      </c>
      <c r="F191" s="5" t="s">
        <v>36</v>
      </c>
      <c r="G191" s="5" t="s">
        <v>1153</v>
      </c>
      <c r="H191" s="5" t="s">
        <v>38</v>
      </c>
      <c r="I191" s="5" t="s">
        <v>1154</v>
      </c>
      <c r="J191" s="5" t="s">
        <v>1155</v>
      </c>
      <c r="K191" s="5" t="s">
        <v>76</v>
      </c>
      <c r="L191" s="5" t="s">
        <v>212</v>
      </c>
      <c r="M191" s="5" t="s">
        <v>213</v>
      </c>
      <c r="N191" s="5" t="s">
        <v>214</v>
      </c>
      <c r="O191" s="5" t="s">
        <v>38</v>
      </c>
      <c r="P191" s="5" t="s">
        <v>215</v>
      </c>
      <c r="Q191" s="5" t="s">
        <v>216</v>
      </c>
      <c r="R191" s="4">
        <v>45866</v>
      </c>
      <c r="S191" s="4">
        <v>45409</v>
      </c>
      <c r="T191" s="5" t="str">
        <f>IF(AND(R191="", S191=""), "대기자", IF(AND(R191&lt;&gt;"", S191=""), "취업 중", IF(AND(R191="", S191&lt;&gt;""), "대기자", IF(R191=S191, "", IF(R191 &lt; S191, "대기자", "취업 중")))))</f>
        <v>취업 중</v>
      </c>
      <c r="U191" s="5" t="str">
        <f>IF(J191=""," ",IF(ISNUMBER(SEARCH("소형",J191)),"소형","대형"))</f>
        <v>대형</v>
      </c>
      <c r="V191" s="4">
        <v>42975</v>
      </c>
      <c r="W191" s="5"/>
      <c r="X191" s="5"/>
      <c r="Y191" s="5"/>
      <c r="Z191" s="13" t="s">
        <v>47</v>
      </c>
      <c r="AA191" s="13" t="s">
        <v>48</v>
      </c>
      <c r="AB191" s="13" t="s">
        <v>49</v>
      </c>
      <c r="AC191" s="13" t="s">
        <v>50</v>
      </c>
      <c r="AD191" s="13" t="s">
        <v>48</v>
      </c>
      <c r="AE191" s="14" t="s">
        <v>258</v>
      </c>
      <c r="AF191" s="14" t="s">
        <v>183</v>
      </c>
      <c r="AG191" s="14" t="s">
        <v>83</v>
      </c>
      <c r="AH191" s="14" t="s">
        <v>1156</v>
      </c>
      <c r="AI191" s="6"/>
    </row>
    <row r="192" spans="1:35" ht="19.899999999999999" customHeight="1" x14ac:dyDescent="0.25">
      <c r="A192" s="5">
        <v>189</v>
      </c>
      <c r="B192" s="5" t="s">
        <v>33</v>
      </c>
      <c r="C192" s="5" t="s">
        <v>1157</v>
      </c>
      <c r="D192" s="5" t="s">
        <v>179</v>
      </c>
      <c r="E192" s="5">
        <v>19750729</v>
      </c>
      <c r="F192" s="5" t="s">
        <v>36</v>
      </c>
      <c r="G192" s="5" t="s">
        <v>1158</v>
      </c>
      <c r="H192" s="5" t="s">
        <v>38</v>
      </c>
      <c r="I192" s="5" t="s">
        <v>1159</v>
      </c>
      <c r="J192" s="5" t="s">
        <v>1160</v>
      </c>
      <c r="K192" s="5" t="s">
        <v>1161</v>
      </c>
      <c r="L192" s="5" t="s">
        <v>1162</v>
      </c>
      <c r="M192" s="5" t="s">
        <v>1163</v>
      </c>
      <c r="N192" s="5" t="s">
        <v>1164</v>
      </c>
      <c r="O192" s="5" t="s">
        <v>38</v>
      </c>
      <c r="P192" s="5" t="s">
        <v>1165</v>
      </c>
      <c r="Q192" s="5" t="s">
        <v>1166</v>
      </c>
      <c r="R192" s="4">
        <v>46006</v>
      </c>
      <c r="S192" s="4">
        <v>45624</v>
      </c>
      <c r="T192" s="5" t="str">
        <f>IF(AND(R192="", S192=""), "대기자", IF(AND(R192&lt;&gt;"", S192=""), "취업 중", IF(AND(R192="", S192&lt;&gt;""), "대기자", IF(R192=S192, "", IF(R192 &lt; S192, "대기자", "취업 중")))))</f>
        <v>취업 중</v>
      </c>
      <c r="U192" s="5" t="str">
        <f>IF(J192=""," ",IF(ISNUMBER(SEARCH("소형",J192)),"소형","대형"))</f>
        <v>대형</v>
      </c>
      <c r="V192" s="4">
        <v>42926</v>
      </c>
      <c r="W192" s="5"/>
      <c r="X192" s="5"/>
      <c r="Y192" s="5"/>
      <c r="Z192" s="13" t="s">
        <v>70</v>
      </c>
      <c r="AA192" s="13" t="s">
        <v>48</v>
      </c>
      <c r="AB192" s="13" t="s">
        <v>49</v>
      </c>
      <c r="AC192" s="13" t="s">
        <v>50</v>
      </c>
      <c r="AD192" s="13" t="s">
        <v>50</v>
      </c>
      <c r="AE192" s="15" t="s">
        <v>258</v>
      </c>
      <c r="AF192" s="15" t="s">
        <v>183</v>
      </c>
      <c r="AG192" s="15" t="s">
        <v>83</v>
      </c>
      <c r="AH192" s="15" t="s">
        <v>1167</v>
      </c>
      <c r="AI192" s="6"/>
    </row>
    <row r="193" spans="1:35" ht="19.899999999999999" customHeight="1" x14ac:dyDescent="0.25">
      <c r="A193" s="5">
        <v>190</v>
      </c>
      <c r="B193" s="5" t="s">
        <v>33</v>
      </c>
      <c r="C193" s="5" t="s">
        <v>1168</v>
      </c>
      <c r="D193" s="5" t="s">
        <v>179</v>
      </c>
      <c r="E193" s="5">
        <v>19770422</v>
      </c>
      <c r="F193" s="5" t="s">
        <v>36</v>
      </c>
      <c r="G193" s="5" t="s">
        <v>1169</v>
      </c>
      <c r="H193" s="5" t="s">
        <v>38</v>
      </c>
      <c r="I193" s="5" t="s">
        <v>1170</v>
      </c>
      <c r="J193" s="5"/>
      <c r="K193" s="5"/>
      <c r="L193" s="5"/>
      <c r="M193" s="5"/>
      <c r="N193" s="5"/>
      <c r="O193" s="5"/>
      <c r="P193" s="5"/>
      <c r="Q193" s="5"/>
      <c r="R193" s="4">
        <v>45638</v>
      </c>
      <c r="S193" s="4">
        <v>46207</v>
      </c>
      <c r="T193" s="5" t="str">
        <f>IF(AND(R193="", S193=""), "대기자", IF(AND(R193&lt;&gt;"", S193=""), "취업 중", IF(AND(R193="", S193&lt;&gt;""), "대기자", IF(R193=S193, "", IF(R193 &lt; S193, "대기자", "취업 중")))))</f>
        <v>대기자</v>
      </c>
      <c r="U193" s="5" t="str">
        <f>IF(J193=""," ",IF(ISNUMBER(SEARCH("소형",J193)),"소형","대형"))</f>
        <v xml:space="preserve"> </v>
      </c>
      <c r="V193" s="4">
        <v>41323</v>
      </c>
      <c r="W193" s="5"/>
      <c r="X193" s="5"/>
      <c r="Y193" s="5"/>
      <c r="Z193" s="13"/>
      <c r="AA193" s="13"/>
      <c r="AB193" s="13"/>
      <c r="AC193" s="13"/>
      <c r="AD193" s="13"/>
      <c r="AE193" s="14" t="s">
        <v>182</v>
      </c>
      <c r="AF193" s="14" t="s">
        <v>1171</v>
      </c>
      <c r="AG193" s="14" t="s">
        <v>83</v>
      </c>
      <c r="AH193" s="14" t="s">
        <v>1172</v>
      </c>
      <c r="AI193" s="6"/>
    </row>
    <row r="194" spans="1:35" ht="19.899999999999999" customHeight="1" x14ac:dyDescent="0.25">
      <c r="A194" s="5">
        <v>191</v>
      </c>
      <c r="B194" s="5" t="s">
        <v>33</v>
      </c>
      <c r="C194" s="5" t="s">
        <v>1173</v>
      </c>
      <c r="D194" s="5" t="s">
        <v>67</v>
      </c>
      <c r="E194" s="5">
        <v>19710909</v>
      </c>
      <c r="F194" s="5" t="s">
        <v>36</v>
      </c>
      <c r="G194" s="5" t="s">
        <v>1174</v>
      </c>
      <c r="H194" s="5" t="s">
        <v>38</v>
      </c>
      <c r="I194" s="5" t="s">
        <v>1175</v>
      </c>
      <c r="J194" s="5" t="s">
        <v>494</v>
      </c>
      <c r="K194" s="5" t="s">
        <v>76</v>
      </c>
      <c r="L194" s="5" t="s">
        <v>1176</v>
      </c>
      <c r="M194" s="5" t="s">
        <v>1177</v>
      </c>
      <c r="N194" s="5" t="s">
        <v>1178</v>
      </c>
      <c r="O194" s="5" t="s">
        <v>38</v>
      </c>
      <c r="P194" s="5" t="s">
        <v>512</v>
      </c>
      <c r="Q194" s="5" t="s">
        <v>1179</v>
      </c>
      <c r="R194" s="4">
        <v>46177</v>
      </c>
      <c r="S194" s="4">
        <v>45867</v>
      </c>
      <c r="T194" s="5" t="str">
        <f>IF(AND(R194="", S194=""), "대기자", IF(AND(R194&lt;&gt;"", S194=""), "취업 중", IF(AND(R194="", S194&lt;&gt;""), "대기자", IF(R194=S194, "", IF(R194 &lt; S194, "대기자", "취업 중")))))</f>
        <v>취업 중</v>
      </c>
      <c r="U194" s="5" t="str">
        <f>IF(J194=""," ",IF(ISNUMBER(SEARCH("소형",J194)),"소형","대형"))</f>
        <v>대형</v>
      </c>
      <c r="V194" s="4">
        <v>42684</v>
      </c>
      <c r="W194" s="5"/>
      <c r="X194" s="5"/>
      <c r="Y194" s="5"/>
      <c r="Z194" s="13" t="s">
        <v>47</v>
      </c>
      <c r="AA194" s="13" t="s">
        <v>48</v>
      </c>
      <c r="AB194" s="13" t="s">
        <v>49</v>
      </c>
      <c r="AC194" s="13" t="s">
        <v>50</v>
      </c>
      <c r="AD194" s="13" t="s">
        <v>48</v>
      </c>
      <c r="AE194" s="15"/>
      <c r="AF194" s="15"/>
      <c r="AG194" s="15"/>
      <c r="AH194" s="15"/>
      <c r="AI194" s="6"/>
    </row>
    <row r="195" spans="1:35" ht="19.899999999999999" customHeight="1" x14ac:dyDescent="0.25">
      <c r="A195" s="5">
        <v>192</v>
      </c>
      <c r="B195" s="5" t="s">
        <v>33</v>
      </c>
      <c r="C195" s="5" t="s">
        <v>1180</v>
      </c>
      <c r="D195" s="5" t="s">
        <v>99</v>
      </c>
      <c r="E195" s="5">
        <v>19700926</v>
      </c>
      <c r="F195" s="5" t="s">
        <v>36</v>
      </c>
      <c r="G195" s="5" t="s">
        <v>1181</v>
      </c>
      <c r="H195" s="5" t="s">
        <v>38</v>
      </c>
      <c r="I195" s="5" t="s">
        <v>1182</v>
      </c>
      <c r="J195" s="5" t="s">
        <v>40</v>
      </c>
      <c r="K195" s="5" t="s">
        <v>138</v>
      </c>
      <c r="L195" s="5" t="s">
        <v>1183</v>
      </c>
      <c r="M195" s="5" t="s">
        <v>1184</v>
      </c>
      <c r="N195" s="5" t="s">
        <v>1185</v>
      </c>
      <c r="O195" s="5" t="s">
        <v>38</v>
      </c>
      <c r="P195" s="5" t="s">
        <v>64</v>
      </c>
      <c r="Q195" s="5" t="s">
        <v>1186</v>
      </c>
      <c r="R195" s="4">
        <v>45810</v>
      </c>
      <c r="S195" s="4">
        <v>45518</v>
      </c>
      <c r="T195" s="5" t="str">
        <f>IF(AND(R195="", S195=""), "대기자", IF(AND(R195&lt;&gt;"", S195=""), "취업 중", IF(AND(R195="", S195&lt;&gt;""), "대기자", IF(R195=S195, "", IF(R195 &lt; S195, "대기자", "취업 중")))))</f>
        <v>취업 중</v>
      </c>
      <c r="U195" s="5" t="str">
        <f>IF(J195=""," ",IF(ISNUMBER(SEARCH("소형",J195)),"소형","대형"))</f>
        <v>대형</v>
      </c>
      <c r="V195" s="4">
        <v>38353</v>
      </c>
      <c r="W195" s="5"/>
      <c r="X195" s="5"/>
      <c r="Y195" s="5"/>
      <c r="Z195" s="13" t="s">
        <v>47</v>
      </c>
      <c r="AA195" s="13" t="s">
        <v>48</v>
      </c>
      <c r="AB195" s="13" t="s">
        <v>49</v>
      </c>
      <c r="AC195" s="13" t="s">
        <v>50</v>
      </c>
      <c r="AD195" s="13" t="s">
        <v>48</v>
      </c>
      <c r="AE195" s="14"/>
      <c r="AF195" s="14"/>
      <c r="AG195" s="14" t="s">
        <v>155</v>
      </c>
      <c r="AH195" s="14" t="s">
        <v>1187</v>
      </c>
      <c r="AI195" s="6"/>
    </row>
    <row r="196" spans="1:35" ht="19.899999999999999" customHeight="1" x14ac:dyDescent="0.25">
      <c r="A196" s="5">
        <v>193</v>
      </c>
      <c r="B196" s="5" t="s">
        <v>33</v>
      </c>
      <c r="C196" s="5" t="s">
        <v>1188</v>
      </c>
      <c r="D196" s="5" t="s">
        <v>285</v>
      </c>
      <c r="E196" s="5">
        <v>19750224</v>
      </c>
      <c r="F196" s="5" t="s">
        <v>36</v>
      </c>
      <c r="G196" s="5" t="s">
        <v>1189</v>
      </c>
      <c r="H196" s="5" t="s">
        <v>298</v>
      </c>
      <c r="I196" s="5" t="s">
        <v>1190</v>
      </c>
      <c r="J196" s="5" t="s">
        <v>307</v>
      </c>
      <c r="K196" s="5" t="s">
        <v>1191</v>
      </c>
      <c r="L196" s="5" t="s">
        <v>1192</v>
      </c>
      <c r="M196" s="5" t="s">
        <v>1193</v>
      </c>
      <c r="N196" s="5" t="s">
        <v>1194</v>
      </c>
      <c r="O196" s="5" t="s">
        <v>38</v>
      </c>
      <c r="P196" s="5" t="s">
        <v>92</v>
      </c>
      <c r="Q196" s="5" t="s">
        <v>1195</v>
      </c>
      <c r="R196" s="4">
        <v>46242</v>
      </c>
      <c r="S196" s="4">
        <v>45757</v>
      </c>
      <c r="T196" s="5" t="str">
        <f>IF(AND(R196="", S196=""), "대기자", IF(AND(R196&lt;&gt;"", S196=""), "취업 중", IF(AND(R196="", S196&lt;&gt;""), "대기자", IF(R196=S196, "", IF(R196 &lt; S196, "대기자", "취업 중")))))</f>
        <v>취업 중</v>
      </c>
      <c r="U196" s="5" t="str">
        <f>IF(J196=""," ",IF(ISNUMBER(SEARCH("소형",J196)),"소형","대형"))</f>
        <v>대형</v>
      </c>
      <c r="V196" s="4">
        <v>43647</v>
      </c>
      <c r="W196" s="5"/>
      <c r="X196" s="5"/>
      <c r="Y196" s="5"/>
      <c r="Z196" s="13" t="s">
        <v>94</v>
      </c>
      <c r="AA196" s="13" t="s">
        <v>48</v>
      </c>
      <c r="AB196" s="13" t="s">
        <v>49</v>
      </c>
      <c r="AC196" s="13" t="s">
        <v>48</v>
      </c>
      <c r="AD196" s="13" t="s">
        <v>48</v>
      </c>
      <c r="AE196" s="15"/>
      <c r="AF196" s="15"/>
      <c r="AG196" s="15"/>
      <c r="AH196" s="15"/>
      <c r="AI196" s="6"/>
    </row>
    <row r="197" spans="1:35" ht="19.899999999999999" customHeight="1" x14ac:dyDescent="0.25">
      <c r="A197" s="5">
        <v>194</v>
      </c>
      <c r="B197" s="5" t="s">
        <v>33</v>
      </c>
      <c r="C197" s="5" t="s">
        <v>1196</v>
      </c>
      <c r="D197" s="5" t="s">
        <v>72</v>
      </c>
      <c r="E197" s="5">
        <v>19750224</v>
      </c>
      <c r="F197" s="5" t="s">
        <v>36</v>
      </c>
      <c r="G197" s="5" t="s">
        <v>1197</v>
      </c>
      <c r="H197" s="5" t="s">
        <v>38</v>
      </c>
      <c r="I197" s="5" t="s">
        <v>1198</v>
      </c>
      <c r="J197" s="5" t="s">
        <v>127</v>
      </c>
      <c r="K197" s="5" t="s">
        <v>128</v>
      </c>
      <c r="L197" s="5" t="s">
        <v>1199</v>
      </c>
      <c r="M197" s="5" t="s">
        <v>1200</v>
      </c>
      <c r="N197" s="5" t="s">
        <v>1201</v>
      </c>
      <c r="O197" s="5" t="s">
        <v>38</v>
      </c>
      <c r="P197" s="5" t="s">
        <v>1202</v>
      </c>
      <c r="Q197" s="5" t="s">
        <v>1203</v>
      </c>
      <c r="R197" s="4">
        <v>45735</v>
      </c>
      <c r="S197" s="4">
        <v>45665</v>
      </c>
      <c r="T197" s="5" t="str">
        <f>IF(AND(R197="", S197=""), "대기자", IF(AND(R197&lt;&gt;"", S197=""), "취업 중", IF(AND(R197="", S197&lt;&gt;""), "대기자", IF(R197=S197, "", IF(R197 &lt; S197, "대기자", "취업 중")))))</f>
        <v>취업 중</v>
      </c>
      <c r="U197" s="5" t="str">
        <f>IF(J197=""," ",IF(ISNUMBER(SEARCH("소형",J197)),"소형","대형"))</f>
        <v>대형</v>
      </c>
      <c r="V197" s="4">
        <v>42532</v>
      </c>
      <c r="W197" s="5"/>
      <c r="X197" s="5"/>
      <c r="Y197" s="5"/>
      <c r="Z197" s="13" t="s">
        <v>70</v>
      </c>
      <c r="AA197" s="13" t="s">
        <v>48</v>
      </c>
      <c r="AB197" s="13" t="s">
        <v>48</v>
      </c>
      <c r="AC197" s="13" t="s">
        <v>50</v>
      </c>
      <c r="AD197" s="13" t="s">
        <v>48</v>
      </c>
      <c r="AE197" s="14"/>
      <c r="AF197" s="14"/>
      <c r="AG197" s="14"/>
      <c r="AH197" s="14" t="s">
        <v>1204</v>
      </c>
      <c r="AI197" s="6"/>
    </row>
    <row r="198" spans="1:35" ht="19.899999999999999" customHeight="1" x14ac:dyDescent="0.25">
      <c r="A198" s="5">
        <v>195</v>
      </c>
      <c r="B198" s="5" t="s">
        <v>33</v>
      </c>
      <c r="C198" s="5" t="s">
        <v>1205</v>
      </c>
      <c r="D198" s="5" t="s">
        <v>56</v>
      </c>
      <c r="E198" s="5">
        <v>20000828</v>
      </c>
      <c r="F198" s="5" t="s">
        <v>36</v>
      </c>
      <c r="G198" s="5" t="s">
        <v>1206</v>
      </c>
      <c r="H198" s="5" t="s">
        <v>38</v>
      </c>
      <c r="I198" s="5" t="s">
        <v>1207</v>
      </c>
      <c r="J198" s="5" t="s">
        <v>102</v>
      </c>
      <c r="K198" s="5" t="s">
        <v>102</v>
      </c>
      <c r="L198" s="5" t="s">
        <v>1208</v>
      </c>
      <c r="M198" s="5" t="s">
        <v>1209</v>
      </c>
      <c r="N198" s="5" t="s">
        <v>873</v>
      </c>
      <c r="O198" s="5" t="s">
        <v>1210</v>
      </c>
      <c r="P198" s="5" t="s">
        <v>1211</v>
      </c>
      <c r="Q198" s="5" t="s">
        <v>1212</v>
      </c>
      <c r="R198" s="4">
        <v>46139</v>
      </c>
      <c r="S198" s="4">
        <v>45864</v>
      </c>
      <c r="T198" s="5" t="str">
        <f>IF(AND(R198="", S198=""), "대기자", IF(AND(R198&lt;&gt;"", S198=""), "취업 중", IF(AND(R198="", S198&lt;&gt;""), "대기자", IF(R198=S198, "", IF(R198 &lt; S198, "대기자", "취업 중")))))</f>
        <v>취업 중</v>
      </c>
      <c r="U198" s="5" t="str">
        <f>IF(J198=""," ",IF(ISNUMBER(SEARCH("소형",J198)),"소형","대형"))</f>
        <v>소형</v>
      </c>
      <c r="V198" s="4">
        <v>44704</v>
      </c>
      <c r="W198" s="5"/>
      <c r="X198" s="5" t="s">
        <v>1213</v>
      </c>
      <c r="Y198" s="5" t="s">
        <v>1214</v>
      </c>
      <c r="Z198" s="13"/>
      <c r="AA198" s="13"/>
      <c r="AB198" s="13"/>
      <c r="AC198" s="13"/>
      <c r="AD198" s="13"/>
      <c r="AE198" s="15"/>
      <c r="AF198" s="15"/>
      <c r="AG198" s="15"/>
      <c r="AH198" s="15"/>
      <c r="AI198" s="6"/>
    </row>
    <row r="199" spans="1:35" ht="19.899999999999999" customHeight="1" x14ac:dyDescent="0.25">
      <c r="A199" s="5">
        <v>196</v>
      </c>
      <c r="B199" s="5" t="s">
        <v>33</v>
      </c>
      <c r="C199" s="5" t="s">
        <v>1215</v>
      </c>
      <c r="D199" s="5" t="s">
        <v>285</v>
      </c>
      <c r="E199" s="5">
        <v>19650329</v>
      </c>
      <c r="F199" s="5" t="s">
        <v>52</v>
      </c>
      <c r="G199" s="5" t="s">
        <v>1216</v>
      </c>
      <c r="H199" s="5" t="s">
        <v>38</v>
      </c>
      <c r="I199" s="5" t="s">
        <v>1217</v>
      </c>
      <c r="J199" s="5" t="s">
        <v>1218</v>
      </c>
      <c r="K199" s="5" t="s">
        <v>160</v>
      </c>
      <c r="L199" s="5" t="s">
        <v>1219</v>
      </c>
      <c r="M199" s="5" t="s">
        <v>1220</v>
      </c>
      <c r="N199" s="5" t="s">
        <v>1221</v>
      </c>
      <c r="O199" s="5" t="s">
        <v>38</v>
      </c>
      <c r="P199" s="5" t="s">
        <v>80</v>
      </c>
      <c r="Q199" s="5" t="s">
        <v>1222</v>
      </c>
      <c r="R199" s="4">
        <v>46286</v>
      </c>
      <c r="S199" s="4">
        <v>45826</v>
      </c>
      <c r="T199" s="5" t="str">
        <f>IF(AND(R199="", S199=""), "대기자", IF(AND(R199&lt;&gt;"", S199=""), "취업 중", IF(AND(R199="", S199&lt;&gt;""), "대기자", IF(R199=S199, "", IF(R199 &lt; S199, "대기자", "취업 중")))))</f>
        <v>취업 중</v>
      </c>
      <c r="U199" s="5" t="str">
        <f>IF(J199=""," ",IF(ISNUMBER(SEARCH("소형",J199)),"소형","대형"))</f>
        <v>대형</v>
      </c>
      <c r="V199" s="4">
        <v>40012</v>
      </c>
      <c r="W199" s="5"/>
      <c r="X199" s="5"/>
      <c r="Y199" s="5"/>
      <c r="Z199" s="13">
        <v>5</v>
      </c>
      <c r="AA199" s="13">
        <v>1</v>
      </c>
      <c r="AB199" s="13">
        <v>1</v>
      </c>
      <c r="AC199" s="13">
        <v>0</v>
      </c>
      <c r="AD199" s="13">
        <v>1</v>
      </c>
      <c r="AE199" s="14"/>
      <c r="AF199" s="14"/>
      <c r="AG199" s="14"/>
      <c r="AH199" s="14"/>
      <c r="AI199" s="6">
        <v>2</v>
      </c>
    </row>
    <row r="200" spans="1:35" ht="19.899999999999999" customHeight="1" x14ac:dyDescent="0.25">
      <c r="A200" s="5">
        <v>197</v>
      </c>
      <c r="B200" s="5" t="s">
        <v>33</v>
      </c>
      <c r="C200" s="5" t="s">
        <v>1223</v>
      </c>
      <c r="D200" s="5" t="s">
        <v>179</v>
      </c>
      <c r="E200" s="5">
        <v>19720118</v>
      </c>
      <c r="F200" s="5" t="s">
        <v>36</v>
      </c>
      <c r="G200" s="5" t="s">
        <v>1224</v>
      </c>
      <c r="H200" s="5" t="s">
        <v>38</v>
      </c>
      <c r="I200" s="5" t="s">
        <v>1225</v>
      </c>
      <c r="J200" s="5"/>
      <c r="K200" s="5"/>
      <c r="L200" s="5"/>
      <c r="M200" s="5"/>
      <c r="N200" s="5"/>
      <c r="O200" s="5"/>
      <c r="P200" s="5"/>
      <c r="Q200" s="5"/>
      <c r="R200" s="4">
        <v>45617</v>
      </c>
      <c r="S200" s="4">
        <v>46038</v>
      </c>
      <c r="T200" s="5" t="str">
        <f>IF(AND(R200="", S200=""), "대기자", IF(AND(R200&lt;&gt;"", S200=""), "취업 중", IF(AND(R200="", S200&lt;&gt;""), "대기자", IF(R200=S200, "", IF(R200 &lt; S200, "대기자", "취업 중")))))</f>
        <v>대기자</v>
      </c>
      <c r="U200" s="5" t="str">
        <f>IF(J200=""," ",IF(ISNUMBER(SEARCH("소형",J200)),"소형","대형"))</f>
        <v xml:space="preserve"> </v>
      </c>
      <c r="V200" s="4">
        <v>40668</v>
      </c>
      <c r="W200" s="5"/>
      <c r="X200" s="5"/>
      <c r="Y200" s="5"/>
      <c r="Z200" s="13"/>
      <c r="AA200" s="13"/>
      <c r="AB200" s="13"/>
      <c r="AC200" s="13"/>
      <c r="AD200" s="13"/>
      <c r="AE200" s="15"/>
      <c r="AF200" s="15"/>
      <c r="AG200" s="15"/>
      <c r="AH200" s="15"/>
      <c r="AI200" s="6"/>
    </row>
    <row r="201" spans="1:35" ht="19.899999999999999" customHeight="1" x14ac:dyDescent="0.25">
      <c r="A201" s="5">
        <v>198</v>
      </c>
      <c r="B201" s="5" t="s">
        <v>33</v>
      </c>
      <c r="C201" s="5" t="s">
        <v>1226</v>
      </c>
      <c r="D201" s="5" t="s">
        <v>285</v>
      </c>
      <c r="E201" s="5">
        <v>19770122</v>
      </c>
      <c r="F201" s="5" t="s">
        <v>36</v>
      </c>
      <c r="G201" s="5" t="s">
        <v>1227</v>
      </c>
      <c r="H201" s="5" t="s">
        <v>38</v>
      </c>
      <c r="I201" s="5" t="s">
        <v>1228</v>
      </c>
      <c r="J201" s="5" t="s">
        <v>59</v>
      </c>
      <c r="K201" s="5" t="s">
        <v>60</v>
      </c>
      <c r="L201" s="5" t="s">
        <v>61</v>
      </c>
      <c r="M201" s="5" t="s">
        <v>62</v>
      </c>
      <c r="N201" s="5" t="s">
        <v>63</v>
      </c>
      <c r="O201" s="5" t="s">
        <v>38</v>
      </c>
      <c r="P201" s="5" t="s">
        <v>64</v>
      </c>
      <c r="Q201" s="5" t="s">
        <v>65</v>
      </c>
      <c r="R201" s="4">
        <v>46084</v>
      </c>
      <c r="S201" s="4">
        <v>45787</v>
      </c>
      <c r="T201" s="5" t="str">
        <f>IF(AND(R201="", S201=""), "대기자", IF(AND(R201&lt;&gt;"", S201=""), "취업 중", IF(AND(R201="", S201&lt;&gt;""), "대기자", IF(R201=S201, "", IF(R201 &lt; S201, "대기자", "취업 중")))))</f>
        <v>취업 중</v>
      </c>
      <c r="U201" s="5" t="str">
        <f>IF(J201=""," ",IF(ISNUMBER(SEARCH("소형",J201)),"소형","대형"))</f>
        <v>대형</v>
      </c>
      <c r="V201" s="4">
        <v>42545</v>
      </c>
      <c r="W201" s="5"/>
      <c r="X201" s="5"/>
      <c r="Y201" s="5"/>
      <c r="Z201" s="13">
        <v>27</v>
      </c>
      <c r="AA201" s="13">
        <v>12</v>
      </c>
      <c r="AB201" s="13">
        <v>12</v>
      </c>
      <c r="AC201" s="13">
        <v>1</v>
      </c>
      <c r="AD201" s="13">
        <v>2</v>
      </c>
      <c r="AE201" s="14"/>
      <c r="AF201" s="14"/>
      <c r="AG201" s="14"/>
      <c r="AH201" s="14" t="s">
        <v>1229</v>
      </c>
      <c r="AI201" s="6"/>
    </row>
    <row r="202" spans="1:35" ht="19.899999999999999" customHeight="1" x14ac:dyDescent="0.25">
      <c r="A202" s="5">
        <v>199</v>
      </c>
      <c r="B202" s="5" t="s">
        <v>33</v>
      </c>
      <c r="C202" s="5" t="s">
        <v>1230</v>
      </c>
      <c r="D202" s="5" t="s">
        <v>526</v>
      </c>
      <c r="E202" s="5">
        <v>19740305</v>
      </c>
      <c r="F202" s="5" t="s">
        <v>36</v>
      </c>
      <c r="G202" s="5" t="s">
        <v>1231</v>
      </c>
      <c r="H202" s="5" t="s">
        <v>38</v>
      </c>
      <c r="I202" s="5" t="s">
        <v>1232</v>
      </c>
      <c r="J202" s="5"/>
      <c r="K202" s="5"/>
      <c r="L202" s="5"/>
      <c r="M202" s="5"/>
      <c r="N202" s="5"/>
      <c r="O202" s="5"/>
      <c r="P202" s="5"/>
      <c r="Q202" s="5"/>
      <c r="R202" s="4">
        <v>45548</v>
      </c>
      <c r="S202" s="4">
        <v>46142</v>
      </c>
      <c r="T202" s="5" t="str">
        <f>IF(AND(R202="", S202=""), "대기자", IF(AND(R202&lt;&gt;"", S202=""), "취업 중", IF(AND(R202="", S202&lt;&gt;""), "대기자", IF(R202=S202, "", IF(R202 &lt; S202, "대기자", "취업 중")))))</f>
        <v>대기자</v>
      </c>
      <c r="U202" s="5" t="str">
        <f>IF(J202=""," ",IF(ISNUMBER(SEARCH("소형",J202)),"소형","대형"))</f>
        <v xml:space="preserve"> </v>
      </c>
      <c r="V202" s="4">
        <v>43632</v>
      </c>
      <c r="W202" s="5"/>
      <c r="X202" s="5"/>
      <c r="Y202" s="5"/>
      <c r="Z202" s="13"/>
      <c r="AA202" s="13"/>
      <c r="AB202" s="13"/>
      <c r="AC202" s="13"/>
      <c r="AD202" s="13"/>
      <c r="AE202" s="15"/>
      <c r="AF202" s="15"/>
      <c r="AG202" s="15"/>
      <c r="AH202" s="15"/>
      <c r="AI202" s="6"/>
    </row>
    <row r="203" spans="1:35" ht="19.899999999999999" customHeight="1" x14ac:dyDescent="0.25">
      <c r="A203" s="5">
        <v>200</v>
      </c>
      <c r="B203" s="5" t="s">
        <v>33</v>
      </c>
      <c r="C203" s="5" t="s">
        <v>1233</v>
      </c>
      <c r="D203" s="5" t="s">
        <v>99</v>
      </c>
      <c r="E203" s="5">
        <v>19770611</v>
      </c>
      <c r="F203" s="5" t="s">
        <v>36</v>
      </c>
      <c r="G203" s="5" t="s">
        <v>1234</v>
      </c>
      <c r="H203" s="5" t="s">
        <v>38</v>
      </c>
      <c r="I203" s="5" t="s">
        <v>1235</v>
      </c>
      <c r="J203" s="5"/>
      <c r="K203" s="5"/>
      <c r="L203" s="5"/>
      <c r="M203" s="5"/>
      <c r="N203" s="5"/>
      <c r="O203" s="5"/>
      <c r="P203" s="5"/>
      <c r="Q203" s="5"/>
      <c r="R203" s="4">
        <v>45798</v>
      </c>
      <c r="S203" s="4">
        <v>46258</v>
      </c>
      <c r="T203" s="5" t="str">
        <f>IF(AND(R203="", S203=""), "대기자", IF(AND(R203&lt;&gt;"", S203=""), "취업 중", IF(AND(R203="", S203&lt;&gt;""), "대기자", IF(R203=S203, "", IF(R203 &lt; S203, "대기자", "취업 중")))))</f>
        <v>대기자</v>
      </c>
      <c r="U203" s="5" t="str">
        <f>IF(J203=""," ",IF(ISNUMBER(SEARCH("소형",J203)),"소형","대형"))</f>
        <v xml:space="preserve"> </v>
      </c>
      <c r="V203" s="4">
        <v>40698</v>
      </c>
      <c r="W203" s="5"/>
      <c r="X203" s="5"/>
      <c r="Y203" s="5"/>
      <c r="Z203" s="13"/>
      <c r="AA203" s="13"/>
      <c r="AB203" s="13"/>
      <c r="AC203" s="13"/>
      <c r="AD203" s="13"/>
      <c r="AE203" s="14"/>
      <c r="AF203" s="14"/>
      <c r="AG203" s="14" t="s">
        <v>83</v>
      </c>
      <c r="AH203" s="14" t="s">
        <v>1236</v>
      </c>
      <c r="AI203" s="6"/>
    </row>
    <row r="204" spans="1:35" ht="19.899999999999999" customHeight="1" x14ac:dyDescent="0.25">
      <c r="A204" s="5">
        <v>201</v>
      </c>
      <c r="B204" s="5" t="s">
        <v>33</v>
      </c>
      <c r="C204" s="5" t="s">
        <v>1237</v>
      </c>
      <c r="D204" s="5" t="s">
        <v>67</v>
      </c>
      <c r="E204" s="5">
        <v>19901004</v>
      </c>
      <c r="F204" s="5" t="s">
        <v>36</v>
      </c>
      <c r="G204" s="5" t="s">
        <v>1238</v>
      </c>
      <c r="H204" s="5" t="s">
        <v>38</v>
      </c>
      <c r="I204" s="5" t="s">
        <v>1239</v>
      </c>
      <c r="J204" s="5" t="s">
        <v>102</v>
      </c>
      <c r="K204" s="5" t="s">
        <v>102</v>
      </c>
      <c r="L204" s="5" t="s">
        <v>1240</v>
      </c>
      <c r="M204" s="5" t="s">
        <v>1241</v>
      </c>
      <c r="N204" s="5" t="s">
        <v>1242</v>
      </c>
      <c r="O204" s="5" t="s">
        <v>38</v>
      </c>
      <c r="P204" s="5" t="s">
        <v>45</v>
      </c>
      <c r="Q204" s="5" t="s">
        <v>1243</v>
      </c>
      <c r="R204" s="4">
        <v>46132</v>
      </c>
      <c r="S204" s="4">
        <v>45808</v>
      </c>
      <c r="T204" s="5" t="str">
        <f>IF(AND(R204="", S204=""), "대기자", IF(AND(R204&lt;&gt;"", S204=""), "취업 중", IF(AND(R204="", S204&lt;&gt;""), "대기자", IF(R204=S204, "", IF(R204 &lt; S204, "대기자", "취업 중")))))</f>
        <v>취업 중</v>
      </c>
      <c r="U204" s="5" t="str">
        <f>IF(J204=""," ",IF(ISNUMBER(SEARCH("소형",J204)),"소형","대형"))</f>
        <v>소형</v>
      </c>
      <c r="V204" s="4">
        <v>44564</v>
      </c>
      <c r="W204" s="5"/>
      <c r="X204" s="5" t="s">
        <v>1244</v>
      </c>
      <c r="Y204" s="5" t="s">
        <v>1245</v>
      </c>
      <c r="Z204" s="13"/>
      <c r="AA204" s="13"/>
      <c r="AB204" s="13"/>
      <c r="AC204" s="13"/>
      <c r="AD204" s="13"/>
      <c r="AE204" s="15"/>
      <c r="AF204" s="15"/>
      <c r="AG204" s="15"/>
      <c r="AH204" s="15"/>
      <c r="AI204" s="6"/>
    </row>
    <row r="205" spans="1:35" ht="19.899999999999999" customHeight="1" x14ac:dyDescent="0.25">
      <c r="A205" s="5">
        <v>202</v>
      </c>
      <c r="B205" s="5" t="s">
        <v>33</v>
      </c>
      <c r="C205" s="5" t="s">
        <v>1246</v>
      </c>
      <c r="D205" s="5" t="s">
        <v>56</v>
      </c>
      <c r="E205" s="5">
        <v>19770501</v>
      </c>
      <c r="F205" s="5" t="s">
        <v>36</v>
      </c>
      <c r="G205" s="5" t="s">
        <v>1247</v>
      </c>
      <c r="H205" s="5" t="s">
        <v>38</v>
      </c>
      <c r="I205" s="5" t="s">
        <v>1248</v>
      </c>
      <c r="J205" s="5"/>
      <c r="K205" s="5"/>
      <c r="L205" s="5"/>
      <c r="M205" s="5"/>
      <c r="N205" s="5"/>
      <c r="O205" s="5"/>
      <c r="P205" s="5"/>
      <c r="Q205" s="5"/>
      <c r="R205" s="4">
        <v>45971</v>
      </c>
      <c r="S205" s="4">
        <v>46273</v>
      </c>
      <c r="T205" s="5" t="str">
        <f>IF(AND(R205="", S205=""), "대기자", IF(AND(R205&lt;&gt;"", S205=""), "취업 중", IF(AND(R205="", S205&lt;&gt;""), "대기자", IF(R205=S205, "", IF(R205 &lt; S205, "대기자", "취업 중")))))</f>
        <v>대기자</v>
      </c>
      <c r="U205" s="5" t="str">
        <f>IF(J205=""," ",IF(ISNUMBER(SEARCH("소형",J205)),"소형","대형"))</f>
        <v xml:space="preserve"> </v>
      </c>
      <c r="V205" s="4">
        <v>42911</v>
      </c>
      <c r="W205" s="5"/>
      <c r="X205" s="5"/>
      <c r="Y205" s="5"/>
      <c r="Z205" s="13"/>
      <c r="AA205" s="13"/>
      <c r="AB205" s="13"/>
      <c r="AC205" s="13"/>
      <c r="AD205" s="13"/>
      <c r="AE205" s="14"/>
      <c r="AF205" s="14"/>
      <c r="AG205" s="14" t="s">
        <v>83</v>
      </c>
      <c r="AH205" s="14" t="s">
        <v>1249</v>
      </c>
      <c r="AI205" s="6"/>
    </row>
    <row r="206" spans="1:35" ht="19.899999999999999" customHeight="1" x14ac:dyDescent="0.25">
      <c r="A206" s="5">
        <v>203</v>
      </c>
      <c r="B206" s="5" t="s">
        <v>33</v>
      </c>
      <c r="C206" s="5" t="s">
        <v>1250</v>
      </c>
      <c r="D206" s="5" t="s">
        <v>179</v>
      </c>
      <c r="E206" s="5">
        <v>19690414</v>
      </c>
      <c r="F206" s="5" t="s">
        <v>36</v>
      </c>
      <c r="G206" s="5" t="s">
        <v>1251</v>
      </c>
      <c r="H206" s="5" t="s">
        <v>38</v>
      </c>
      <c r="I206" s="5" t="s">
        <v>1252</v>
      </c>
      <c r="J206" s="5" t="s">
        <v>59</v>
      </c>
      <c r="K206" s="5" t="s">
        <v>1253</v>
      </c>
      <c r="L206" s="5" t="s">
        <v>1254</v>
      </c>
      <c r="M206" s="5" t="s">
        <v>1255</v>
      </c>
      <c r="N206" s="5" t="s">
        <v>1256</v>
      </c>
      <c r="O206" s="5" t="s">
        <v>38</v>
      </c>
      <c r="P206" s="5" t="s">
        <v>45</v>
      </c>
      <c r="Q206" s="5" t="s">
        <v>1257</v>
      </c>
      <c r="R206" s="4">
        <v>46279</v>
      </c>
      <c r="S206" s="4">
        <v>45804</v>
      </c>
      <c r="T206" s="5" t="str">
        <f>IF(AND(R206="", S206=""), "대기자", IF(AND(R206&lt;&gt;"", S206=""), "취업 중", IF(AND(R206="", S206&lt;&gt;""), "대기자", IF(R206=S206, "", IF(R206 &lt; S206, "대기자", "취업 중")))))</f>
        <v>취업 중</v>
      </c>
      <c r="U206" s="5" t="str">
        <f>IF(J206=""," ",IF(ISNUMBER(SEARCH("소형",J206)),"소형","대형"))</f>
        <v>대형</v>
      </c>
      <c r="V206" s="4">
        <v>42561</v>
      </c>
      <c r="W206" s="5"/>
      <c r="X206" s="5"/>
      <c r="Y206" s="5" t="s">
        <v>1258</v>
      </c>
      <c r="Z206" s="13">
        <v>1</v>
      </c>
      <c r="AA206" s="13">
        <v>1</v>
      </c>
      <c r="AB206" s="13">
        <v>0</v>
      </c>
      <c r="AC206" s="13">
        <v>0</v>
      </c>
      <c r="AD206" s="13">
        <v>0</v>
      </c>
      <c r="AE206" s="15"/>
      <c r="AF206" s="15"/>
      <c r="AG206" s="15"/>
      <c r="AH206" s="15"/>
      <c r="AI206" s="6"/>
    </row>
    <row r="207" spans="1:35" ht="19.899999999999999" customHeight="1" x14ac:dyDescent="0.25">
      <c r="A207" s="5">
        <v>204</v>
      </c>
      <c r="B207" s="5" t="s">
        <v>33</v>
      </c>
      <c r="C207" s="5" t="s">
        <v>1259</v>
      </c>
      <c r="D207" s="5" t="s">
        <v>144</v>
      </c>
      <c r="E207" s="5">
        <v>19960130</v>
      </c>
      <c r="F207" s="5" t="s">
        <v>36</v>
      </c>
      <c r="G207" s="5" t="s">
        <v>1260</v>
      </c>
      <c r="H207" s="5" t="s">
        <v>38</v>
      </c>
      <c r="I207" s="5" t="s">
        <v>1261</v>
      </c>
      <c r="J207" s="5"/>
      <c r="K207" s="5"/>
      <c r="L207" s="5"/>
      <c r="M207" s="5"/>
      <c r="N207" s="5"/>
      <c r="O207" s="5"/>
      <c r="P207" s="5"/>
      <c r="Q207" s="5"/>
      <c r="R207" s="4">
        <v>45740</v>
      </c>
      <c r="S207" s="4">
        <v>46087</v>
      </c>
      <c r="T207" s="5" t="str">
        <f>IF(AND(R207="", S207=""), "대기자", IF(AND(R207&lt;&gt;"", S207=""), "취업 중", IF(AND(R207="", S207&lt;&gt;""), "대기자", IF(R207=S207, "", IF(R207 &lt; S207, "대기자", "취업 중")))))</f>
        <v>대기자</v>
      </c>
      <c r="U207" s="5" t="str">
        <f>IF(J207=""," ",IF(ISNUMBER(SEARCH("소형",J207)),"소형","대형"))</f>
        <v xml:space="preserve"> </v>
      </c>
      <c r="V207" s="4">
        <v>44896</v>
      </c>
      <c r="W207" s="5"/>
      <c r="X207" s="5"/>
      <c r="Y207" s="5"/>
      <c r="Z207" s="13"/>
      <c r="AA207" s="13"/>
      <c r="AB207" s="13"/>
      <c r="AC207" s="13"/>
      <c r="AD207" s="13"/>
      <c r="AE207" s="14"/>
      <c r="AF207" s="14"/>
      <c r="AG207" s="14" t="s">
        <v>184</v>
      </c>
      <c r="AH207" s="14"/>
      <c r="AI207" s="6"/>
    </row>
    <row r="208" spans="1:35" ht="19.899999999999999" customHeight="1" x14ac:dyDescent="0.25">
      <c r="A208" s="5">
        <v>205</v>
      </c>
      <c r="B208" s="5" t="s">
        <v>33</v>
      </c>
      <c r="C208" s="5" t="s">
        <v>1262</v>
      </c>
      <c r="D208" s="5" t="s">
        <v>72</v>
      </c>
      <c r="E208" s="5">
        <v>19680105</v>
      </c>
      <c r="F208" s="5" t="s">
        <v>36</v>
      </c>
      <c r="G208" s="5" t="s">
        <v>1263</v>
      </c>
      <c r="H208" s="5" t="s">
        <v>38</v>
      </c>
      <c r="I208" s="5" t="s">
        <v>1264</v>
      </c>
      <c r="J208" s="5" t="s">
        <v>494</v>
      </c>
      <c r="K208" s="5" t="s">
        <v>1265</v>
      </c>
      <c r="L208" s="5" t="s">
        <v>1266</v>
      </c>
      <c r="M208" s="5" t="s">
        <v>1267</v>
      </c>
      <c r="N208" s="5" t="s">
        <v>1268</v>
      </c>
      <c r="O208" s="5" t="s">
        <v>38</v>
      </c>
      <c r="P208" s="5" t="s">
        <v>499</v>
      </c>
      <c r="Q208" s="5" t="s">
        <v>1269</v>
      </c>
      <c r="R208" s="4">
        <v>45911</v>
      </c>
      <c r="S208" s="4">
        <v>45461</v>
      </c>
      <c r="T208" s="5" t="str">
        <f>IF(AND(R208="", S208=""), "대기자", IF(AND(R208&lt;&gt;"", S208=""), "취업 중", IF(AND(R208="", S208&lt;&gt;""), "대기자", IF(R208=S208, "", IF(R208 &lt; S208, "대기자", "취업 중")))))</f>
        <v>취업 중</v>
      </c>
      <c r="U208" s="5" t="str">
        <f>IF(J208=""," ",IF(ISNUMBER(SEARCH("소형",J208)),"소형","대형"))</f>
        <v>대형</v>
      </c>
      <c r="V208" s="4">
        <v>40668</v>
      </c>
      <c r="W208" s="5"/>
      <c r="X208" s="5"/>
      <c r="Y208" s="5"/>
      <c r="Z208" s="13" t="s">
        <v>70</v>
      </c>
      <c r="AA208" s="13">
        <v>2</v>
      </c>
      <c r="AB208" s="13" t="s">
        <v>48</v>
      </c>
      <c r="AC208" s="13">
        <v>0</v>
      </c>
      <c r="AD208" s="13" t="s">
        <v>50</v>
      </c>
      <c r="AE208" s="15"/>
      <c r="AF208" s="15"/>
      <c r="AG208" s="15" t="s">
        <v>184</v>
      </c>
      <c r="AH208" s="15" t="s">
        <v>1270</v>
      </c>
      <c r="AI208" s="6"/>
    </row>
    <row r="209" spans="1:35" ht="19.899999999999999" customHeight="1" x14ac:dyDescent="0.25">
      <c r="A209" s="5">
        <v>206</v>
      </c>
      <c r="B209" s="5" t="s">
        <v>33</v>
      </c>
      <c r="C209" s="5" t="s">
        <v>1271</v>
      </c>
      <c r="D209" s="5" t="s">
        <v>285</v>
      </c>
      <c r="E209" s="5">
        <v>19750224</v>
      </c>
      <c r="F209" s="5" t="s">
        <v>36</v>
      </c>
      <c r="G209" s="5" t="s">
        <v>1272</v>
      </c>
      <c r="H209" s="5" t="s">
        <v>38</v>
      </c>
      <c r="I209" s="5" t="s">
        <v>1273</v>
      </c>
      <c r="J209" s="5"/>
      <c r="K209" s="5"/>
      <c r="L209" s="5"/>
      <c r="M209" s="5"/>
      <c r="N209" s="5"/>
      <c r="O209" s="5"/>
      <c r="P209" s="5"/>
      <c r="Q209" s="5"/>
      <c r="R209" s="4">
        <v>45043</v>
      </c>
      <c r="S209" s="4">
        <v>45462</v>
      </c>
      <c r="T209" s="5" t="str">
        <f>IF(AND(R209="", S209=""), "대기자", IF(AND(R209&lt;&gt;"", S209=""), "취업 중", IF(AND(R209="", S209&lt;&gt;""), "대기자", IF(R209=S209, "", IF(R209 &lt; S209, "대기자", "취업 중")))))</f>
        <v>대기자</v>
      </c>
      <c r="U209" s="5" t="str">
        <f>IF(J209=""," ",IF(ISNUMBER(SEARCH("소형",J209)),"소형","대형"))</f>
        <v xml:space="preserve"> </v>
      </c>
      <c r="V209" s="4">
        <v>43712</v>
      </c>
      <c r="W209" s="5"/>
      <c r="X209" s="5"/>
      <c r="Y209" s="5"/>
      <c r="Z209" s="13"/>
      <c r="AA209" s="13"/>
      <c r="AB209" s="13"/>
      <c r="AC209" s="13"/>
      <c r="AD209" s="13"/>
      <c r="AE209" s="14"/>
      <c r="AF209" s="14"/>
      <c r="AG209" s="14"/>
      <c r="AH209" s="14"/>
      <c r="AI209" s="6"/>
    </row>
    <row r="210" spans="1:35" ht="19.899999999999999" customHeight="1" x14ac:dyDescent="0.25">
      <c r="A210" s="5">
        <v>207</v>
      </c>
      <c r="B210" s="5" t="s">
        <v>33</v>
      </c>
      <c r="C210" s="5" t="s">
        <v>1274</v>
      </c>
      <c r="D210" s="5" t="s">
        <v>67</v>
      </c>
      <c r="E210" s="5">
        <v>19771215</v>
      </c>
      <c r="F210" s="5" t="s">
        <v>36</v>
      </c>
      <c r="G210" s="5" t="s">
        <v>1275</v>
      </c>
      <c r="H210" s="5" t="s">
        <v>38</v>
      </c>
      <c r="I210" s="5" t="s">
        <v>1276</v>
      </c>
      <c r="J210" s="5"/>
      <c r="K210" s="5"/>
      <c r="L210" s="5"/>
      <c r="M210" s="5"/>
      <c r="N210" s="5"/>
      <c r="O210" s="5"/>
      <c r="P210" s="5"/>
      <c r="Q210" s="5"/>
      <c r="R210" s="4">
        <v>45743</v>
      </c>
      <c r="S210" s="4">
        <v>46228</v>
      </c>
      <c r="T210" s="5" t="str">
        <f>IF(AND(R210="", S210=""), "대기자", IF(AND(R210&lt;&gt;"", S210=""), "취업 중", IF(AND(R210="", S210&lt;&gt;""), "대기자", IF(R210=S210, "", IF(R210 &lt; S210, "대기자", "취업 중")))))</f>
        <v>대기자</v>
      </c>
      <c r="U210" s="5" t="str">
        <f>IF(J210=""," ",IF(ISNUMBER(SEARCH("소형",J210)),"소형","대형"))</f>
        <v xml:space="preserve"> </v>
      </c>
      <c r="V210" s="4">
        <v>42461</v>
      </c>
      <c r="W210" s="5"/>
      <c r="X210" s="5"/>
      <c r="Y210" s="5"/>
      <c r="Z210" s="13"/>
      <c r="AA210" s="13"/>
      <c r="AB210" s="13"/>
      <c r="AC210" s="13"/>
      <c r="AD210" s="13"/>
      <c r="AE210" s="15"/>
      <c r="AF210" s="15"/>
      <c r="AG210" s="15" t="s">
        <v>193</v>
      </c>
      <c r="AH210" s="15" t="s">
        <v>1277</v>
      </c>
      <c r="AI210" s="6"/>
    </row>
    <row r="211" spans="1:35" ht="19.899999999999999" customHeight="1" x14ac:dyDescent="0.25">
      <c r="A211" s="5">
        <v>208</v>
      </c>
      <c r="B211" s="5" t="s">
        <v>33</v>
      </c>
      <c r="C211" s="5" t="s">
        <v>1278</v>
      </c>
      <c r="D211" s="5" t="s">
        <v>67</v>
      </c>
      <c r="E211" s="5">
        <v>20020407</v>
      </c>
      <c r="F211" s="5" t="s">
        <v>36</v>
      </c>
      <c r="G211" s="5" t="s">
        <v>1279</v>
      </c>
      <c r="H211" s="5" t="s">
        <v>38</v>
      </c>
      <c r="I211" s="5" t="s">
        <v>1280</v>
      </c>
      <c r="J211" s="5"/>
      <c r="K211" s="5"/>
      <c r="L211" s="5"/>
      <c r="M211" s="5"/>
      <c r="N211" s="5"/>
      <c r="O211" s="5"/>
      <c r="P211" s="5"/>
      <c r="Q211" s="5"/>
      <c r="R211" s="4">
        <v>45964</v>
      </c>
      <c r="S211" s="4">
        <v>46192</v>
      </c>
      <c r="T211" s="5" t="str">
        <f>IF(AND(R211="", S211=""), "대기자", IF(AND(R211&lt;&gt;"", S211=""), "취업 중", IF(AND(R211="", S211&lt;&gt;""), "대기자", IF(R211=S211, "", IF(R211 &lt; S211, "대기자", "취업 중")))))</f>
        <v>대기자</v>
      </c>
      <c r="U211" s="5" t="str">
        <f>IF(J211=""," ",IF(ISNUMBER(SEARCH("소형",J211)),"소형","대형"))</f>
        <v xml:space="preserve"> </v>
      </c>
      <c r="V211" s="4">
        <v>44927</v>
      </c>
      <c r="W211" s="5"/>
      <c r="X211" s="5"/>
      <c r="Y211" s="5"/>
      <c r="Z211" s="13"/>
      <c r="AA211" s="13"/>
      <c r="AB211" s="13"/>
      <c r="AC211" s="13"/>
      <c r="AD211" s="13"/>
      <c r="AE211" s="14"/>
      <c r="AF211" s="14"/>
      <c r="AG211" s="14"/>
      <c r="AH211" s="14"/>
      <c r="AI211" s="6"/>
    </row>
    <row r="212" spans="1:35" ht="19.899999999999999" customHeight="1" x14ac:dyDescent="0.25">
      <c r="A212" s="5">
        <v>209</v>
      </c>
      <c r="B212" s="5" t="s">
        <v>33</v>
      </c>
      <c r="C212" s="5" t="s">
        <v>1281</v>
      </c>
      <c r="D212" s="5" t="s">
        <v>144</v>
      </c>
      <c r="E212" s="5">
        <v>19821123</v>
      </c>
      <c r="F212" s="5" t="s">
        <v>36</v>
      </c>
      <c r="G212" s="5" t="s">
        <v>1282</v>
      </c>
      <c r="H212" s="5" t="s">
        <v>38</v>
      </c>
      <c r="I212" s="5" t="s">
        <v>1283</v>
      </c>
      <c r="J212" s="5" t="s">
        <v>40</v>
      </c>
      <c r="K212" s="5" t="s">
        <v>421</v>
      </c>
      <c r="L212" s="5" t="s">
        <v>1284</v>
      </c>
      <c r="M212" s="5" t="s">
        <v>1285</v>
      </c>
      <c r="N212" s="5" t="s">
        <v>1286</v>
      </c>
      <c r="O212" s="5" t="s">
        <v>38</v>
      </c>
      <c r="P212" s="5" t="s">
        <v>80</v>
      </c>
      <c r="Q212" s="5" t="s">
        <v>1287</v>
      </c>
      <c r="R212" s="4">
        <v>45854</v>
      </c>
      <c r="S212" s="4">
        <v>45381</v>
      </c>
      <c r="T212" s="5" t="str">
        <f>IF(AND(R212="", S212=""), "대기자", IF(AND(R212&lt;&gt;"", S212=""), "취업 중", IF(AND(R212="", S212&lt;&gt;""), "대기자", IF(R212=S212, "", IF(R212 &lt; S212, "대기자", "취업 중")))))</f>
        <v>취업 중</v>
      </c>
      <c r="U212" s="5" t="str">
        <f>IF(J212=""," ",IF(ISNUMBER(SEARCH("소형",J212)),"소형","대형"))</f>
        <v>대형</v>
      </c>
      <c r="V212" s="4">
        <v>41293</v>
      </c>
      <c r="W212" s="5"/>
      <c r="X212" s="5" t="s">
        <v>880</v>
      </c>
      <c r="Y212" s="5" t="s">
        <v>1288</v>
      </c>
      <c r="Z212" s="13" t="s">
        <v>70</v>
      </c>
      <c r="AA212" s="13" t="s">
        <v>48</v>
      </c>
      <c r="AB212" s="13" t="s">
        <v>48</v>
      </c>
      <c r="AC212" s="13" t="s">
        <v>50</v>
      </c>
      <c r="AD212" s="13" t="s">
        <v>48</v>
      </c>
      <c r="AE212" s="15"/>
      <c r="AF212" s="15"/>
      <c r="AG212" s="15" t="s">
        <v>155</v>
      </c>
      <c r="AH212" s="15" t="s">
        <v>1289</v>
      </c>
      <c r="AI212" s="6"/>
    </row>
    <row r="213" spans="1:35" ht="19.899999999999999" customHeight="1" x14ac:dyDescent="0.25">
      <c r="A213" s="5">
        <v>210</v>
      </c>
      <c r="B213" s="5" t="s">
        <v>33</v>
      </c>
      <c r="C213" s="5" t="s">
        <v>1290</v>
      </c>
      <c r="D213" s="5" t="s">
        <v>99</v>
      </c>
      <c r="E213" s="5">
        <v>19670925</v>
      </c>
      <c r="F213" s="5" t="s">
        <v>36</v>
      </c>
      <c r="G213" s="5" t="s">
        <v>1291</v>
      </c>
      <c r="H213" s="5" t="s">
        <v>38</v>
      </c>
      <c r="I213" s="5" t="s">
        <v>1292</v>
      </c>
      <c r="J213" s="5" t="s">
        <v>59</v>
      </c>
      <c r="K213" s="5" t="s">
        <v>60</v>
      </c>
      <c r="L213" s="5" t="s">
        <v>61</v>
      </c>
      <c r="M213" s="5" t="s">
        <v>62</v>
      </c>
      <c r="N213" s="5" t="s">
        <v>63</v>
      </c>
      <c r="O213" s="5" t="s">
        <v>38</v>
      </c>
      <c r="P213" s="5" t="s">
        <v>64</v>
      </c>
      <c r="Q213" s="5" t="s">
        <v>65</v>
      </c>
      <c r="R213" s="4">
        <v>46202</v>
      </c>
      <c r="S213" s="4">
        <v>46036</v>
      </c>
      <c r="T213" s="5" t="str">
        <f>IF(AND(R213="", S213=""), "대기자", IF(AND(R213&lt;&gt;"", S213=""), "취업 중", IF(AND(R213="", S213&lt;&gt;""), "대기자", IF(R213=S213, "", IF(R213 &lt; S213, "대기자", "취업 중")))))</f>
        <v>취업 중</v>
      </c>
      <c r="U213" s="5" t="str">
        <f>IF(J213=""," ",IF(ISNUMBER(SEARCH("소형",J213)),"소형","대형"))</f>
        <v>대형</v>
      </c>
      <c r="V213" s="4">
        <v>42452</v>
      </c>
      <c r="W213" s="5"/>
      <c r="X213" s="5"/>
      <c r="Y213" s="5"/>
      <c r="Z213" s="13">
        <v>27</v>
      </c>
      <c r="AA213" s="13">
        <v>12</v>
      </c>
      <c r="AB213" s="13">
        <v>12</v>
      </c>
      <c r="AC213" s="13">
        <v>1</v>
      </c>
      <c r="AD213" s="13">
        <v>2</v>
      </c>
      <c r="AE213" s="14"/>
      <c r="AF213" s="14"/>
      <c r="AG213" s="14"/>
      <c r="AH213" s="14"/>
      <c r="AI213" s="6"/>
    </row>
    <row r="214" spans="1:35" ht="19.899999999999999" customHeight="1" x14ac:dyDescent="0.25">
      <c r="A214" s="5">
        <v>211</v>
      </c>
      <c r="B214" s="5" t="s">
        <v>33</v>
      </c>
      <c r="C214" s="5" t="s">
        <v>1293</v>
      </c>
      <c r="D214" s="5" t="s">
        <v>56</v>
      </c>
      <c r="E214" s="5">
        <v>19660925</v>
      </c>
      <c r="F214" s="5" t="s">
        <v>36</v>
      </c>
      <c r="G214" s="5" t="s">
        <v>1294</v>
      </c>
      <c r="H214" s="5" t="s">
        <v>38</v>
      </c>
      <c r="I214" s="5" t="s">
        <v>1295</v>
      </c>
      <c r="J214" s="5" t="s">
        <v>198</v>
      </c>
      <c r="K214" s="5" t="s">
        <v>88</v>
      </c>
      <c r="L214" s="5" t="s">
        <v>1296</v>
      </c>
      <c r="M214" s="5" t="s">
        <v>1297</v>
      </c>
      <c r="N214" s="5" t="s">
        <v>91</v>
      </c>
      <c r="O214" s="5" t="s">
        <v>38</v>
      </c>
      <c r="P214" s="5" t="s">
        <v>92</v>
      </c>
      <c r="Q214" s="5" t="s">
        <v>1298</v>
      </c>
      <c r="R214" s="4">
        <v>45607</v>
      </c>
      <c r="S214" s="4">
        <v>45206</v>
      </c>
      <c r="T214" s="5" t="str">
        <f>IF(AND(R214="", S214=""), "대기자", IF(AND(R214&lt;&gt;"", S214=""), "취업 중", IF(AND(R214="", S214&lt;&gt;""), "대기자", IF(R214=S214, "", IF(R214 &lt; S214, "대기자", "취업 중")))))</f>
        <v>취업 중</v>
      </c>
      <c r="U214" s="5" t="str">
        <f>IF(J214=""," ",IF(ISNUMBER(SEARCH("소형",J214)),"소형","대형"))</f>
        <v>대형</v>
      </c>
      <c r="V214" s="4">
        <v>42578</v>
      </c>
      <c r="W214" s="5"/>
      <c r="X214" s="5"/>
      <c r="Y214" s="5"/>
      <c r="Z214" s="13" t="s">
        <v>70</v>
      </c>
      <c r="AA214" s="13" t="s">
        <v>48</v>
      </c>
      <c r="AB214" s="13" t="s">
        <v>48</v>
      </c>
      <c r="AC214" s="13" t="s">
        <v>50</v>
      </c>
      <c r="AD214" s="13" t="s">
        <v>48</v>
      </c>
      <c r="AE214" s="15"/>
      <c r="AF214" s="15"/>
      <c r="AG214" s="15" t="s">
        <v>1299</v>
      </c>
      <c r="AH214" s="15" t="s">
        <v>1300</v>
      </c>
      <c r="AI214" s="6"/>
    </row>
    <row r="215" spans="1:35" ht="19.899999999999999" customHeight="1" x14ac:dyDescent="0.25">
      <c r="A215" s="5">
        <v>212</v>
      </c>
      <c r="B215" s="5" t="s">
        <v>33</v>
      </c>
      <c r="C215" s="5" t="s">
        <v>1301</v>
      </c>
      <c r="D215" s="5" t="s">
        <v>72</v>
      </c>
      <c r="E215" s="5">
        <v>19851114</v>
      </c>
      <c r="F215" s="5" t="s">
        <v>36</v>
      </c>
      <c r="G215" s="5" t="s">
        <v>1302</v>
      </c>
      <c r="H215" s="5" t="s">
        <v>38</v>
      </c>
      <c r="I215" s="5" t="s">
        <v>1303</v>
      </c>
      <c r="J215" s="5" t="s">
        <v>102</v>
      </c>
      <c r="K215" s="5" t="s">
        <v>102</v>
      </c>
      <c r="L215" s="5" t="s">
        <v>1304</v>
      </c>
      <c r="M215" s="5" t="s">
        <v>1305</v>
      </c>
      <c r="N215" s="5" t="s">
        <v>1306</v>
      </c>
      <c r="O215" s="5" t="s">
        <v>38</v>
      </c>
      <c r="P215" s="5" t="s">
        <v>1307</v>
      </c>
      <c r="Q215" s="5" t="s">
        <v>1308</v>
      </c>
      <c r="R215" s="4">
        <v>46055</v>
      </c>
      <c r="S215" s="4">
        <v>45906</v>
      </c>
      <c r="T215" s="5" t="str">
        <f>IF(AND(R215="", S215=""), "대기자", IF(AND(R215&lt;&gt;"", S215=""), "취업 중", IF(AND(R215="", S215&lt;&gt;""), "대기자", IF(R215=S215, "", IF(R215 &lt; S215, "대기자", "취업 중")))))</f>
        <v>취업 중</v>
      </c>
      <c r="U215" s="5" t="str">
        <f>IF(J215=""," ",IF(ISNUMBER(SEARCH("소형",J215)),"소형","대형"))</f>
        <v>소형</v>
      </c>
      <c r="V215" s="4">
        <v>45627</v>
      </c>
      <c r="W215" s="5"/>
      <c r="X215" s="5" t="s">
        <v>1309</v>
      </c>
      <c r="Y215" s="5" t="s">
        <v>1310</v>
      </c>
      <c r="Z215" s="13"/>
      <c r="AA215" s="13"/>
      <c r="AB215" s="13"/>
      <c r="AC215" s="13"/>
      <c r="AD215" s="13"/>
      <c r="AE215" s="14"/>
      <c r="AF215" s="14"/>
      <c r="AG215" s="14"/>
      <c r="AH215" s="14"/>
      <c r="AI215" s="6"/>
    </row>
    <row r="216" spans="1:35" ht="19.899999999999999" customHeight="1" x14ac:dyDescent="0.25">
      <c r="A216" s="5">
        <v>213</v>
      </c>
      <c r="B216" s="5" t="s">
        <v>33</v>
      </c>
      <c r="C216" s="5" t="s">
        <v>1311</v>
      </c>
      <c r="D216" s="5" t="s">
        <v>99</v>
      </c>
      <c r="E216" s="5">
        <v>19900309</v>
      </c>
      <c r="F216" s="5" t="s">
        <v>36</v>
      </c>
      <c r="G216" s="5" t="s">
        <v>1312</v>
      </c>
      <c r="H216" s="5" t="s">
        <v>38</v>
      </c>
      <c r="I216" s="5" t="s">
        <v>1313</v>
      </c>
      <c r="J216" s="5" t="s">
        <v>263</v>
      </c>
      <c r="K216" s="5" t="s">
        <v>1314</v>
      </c>
      <c r="L216" s="5" t="s">
        <v>1315</v>
      </c>
      <c r="M216" s="5" t="s">
        <v>1316</v>
      </c>
      <c r="N216" s="5" t="s">
        <v>1317</v>
      </c>
      <c r="O216" s="5" t="s">
        <v>38</v>
      </c>
      <c r="P216" s="5" t="s">
        <v>402</v>
      </c>
      <c r="Q216" s="5" t="s">
        <v>1318</v>
      </c>
      <c r="R216" s="4">
        <v>46191</v>
      </c>
      <c r="S216" s="4">
        <v>45698</v>
      </c>
      <c r="T216" s="5" t="str">
        <f>IF(AND(R216="", S216=""), "대기자", IF(AND(R216&lt;&gt;"", S216=""), "취업 중", IF(AND(R216="", S216&lt;&gt;""), "대기자", IF(R216=S216, "", IF(R216 &lt; S216, "대기자", "취업 중")))))</f>
        <v>취업 중</v>
      </c>
      <c r="U216" s="5" t="str">
        <f>IF(J216=""," ",IF(ISNUMBER(SEARCH("소형",J216)),"소형","대형"))</f>
        <v>대형</v>
      </c>
      <c r="V216" s="4">
        <v>44564</v>
      </c>
      <c r="W216" s="5"/>
      <c r="X216" s="5"/>
      <c r="Y216" s="5"/>
      <c r="Z216" s="13" t="s">
        <v>82</v>
      </c>
      <c r="AA216" s="13" t="s">
        <v>48</v>
      </c>
      <c r="AB216" s="13" t="s">
        <v>49</v>
      </c>
      <c r="AC216" s="13" t="s">
        <v>49</v>
      </c>
      <c r="AD216" s="13" t="s">
        <v>48</v>
      </c>
      <c r="AE216" s="15"/>
      <c r="AF216" s="15"/>
      <c r="AG216" s="15"/>
      <c r="AH216" s="15"/>
      <c r="AI216" s="6"/>
    </row>
    <row r="217" spans="1:35" ht="19.899999999999999" customHeight="1" x14ac:dyDescent="0.25">
      <c r="A217" s="5">
        <v>214</v>
      </c>
      <c r="B217" s="5" t="s">
        <v>33</v>
      </c>
      <c r="C217" s="5" t="s">
        <v>1319</v>
      </c>
      <c r="D217" s="5" t="s">
        <v>179</v>
      </c>
      <c r="E217" s="5">
        <v>19620920</v>
      </c>
      <c r="F217" s="5" t="s">
        <v>36</v>
      </c>
      <c r="G217" s="5" t="s">
        <v>1320</v>
      </c>
      <c r="H217" s="5" t="s">
        <v>38</v>
      </c>
      <c r="I217" s="5" t="s">
        <v>1321</v>
      </c>
      <c r="J217" s="5" t="s">
        <v>263</v>
      </c>
      <c r="K217" s="5" t="s">
        <v>1322</v>
      </c>
      <c r="L217" s="5" t="s">
        <v>1323</v>
      </c>
      <c r="M217" s="5" t="s">
        <v>1324</v>
      </c>
      <c r="N217" s="5" t="s">
        <v>1325</v>
      </c>
      <c r="O217" s="5" t="s">
        <v>38</v>
      </c>
      <c r="P217" s="5" t="s">
        <v>215</v>
      </c>
      <c r="Q217" s="5" t="s">
        <v>1326</v>
      </c>
      <c r="R217" s="4">
        <v>45863</v>
      </c>
      <c r="S217" s="4">
        <v>45621</v>
      </c>
      <c r="T217" s="5" t="str">
        <f>IF(AND(R217="", S217=""), "대기자", IF(AND(R217&lt;&gt;"", S217=""), "취업 중", IF(AND(R217="", S217&lt;&gt;""), "대기자", IF(R217=S217, "", IF(R217 &lt; S217, "대기자", "취업 중")))))</f>
        <v>취업 중</v>
      </c>
      <c r="U217" s="5" t="str">
        <f>IF(J217=""," ",IF(ISNUMBER(SEARCH("소형",J217)),"소형","대형"))</f>
        <v>대형</v>
      </c>
      <c r="V217" s="4">
        <v>43475</v>
      </c>
      <c r="W217" s="5"/>
      <c r="X217" s="5"/>
      <c r="Y217" s="5"/>
      <c r="Z217" s="13" t="s">
        <v>94</v>
      </c>
      <c r="AA217" s="13">
        <v>3</v>
      </c>
      <c r="AB217" s="13" t="s">
        <v>49</v>
      </c>
      <c r="AC217" s="13">
        <v>0</v>
      </c>
      <c r="AD217" s="13" t="s">
        <v>50</v>
      </c>
      <c r="AE217" s="14" t="s">
        <v>182</v>
      </c>
      <c r="AF217" s="14" t="s">
        <v>183</v>
      </c>
      <c r="AG217" s="14" t="s">
        <v>193</v>
      </c>
      <c r="AH217" s="14" t="s">
        <v>1327</v>
      </c>
      <c r="AI217" s="6"/>
    </row>
    <row r="218" spans="1:35" ht="19.899999999999999" customHeight="1" x14ac:dyDescent="0.25">
      <c r="A218" s="5">
        <v>215</v>
      </c>
      <c r="B218" s="5" t="s">
        <v>33</v>
      </c>
      <c r="C218" s="5" t="s">
        <v>1328</v>
      </c>
      <c r="D218" s="5" t="s">
        <v>35</v>
      </c>
      <c r="E218" s="5">
        <v>19800808</v>
      </c>
      <c r="F218" s="5" t="s">
        <v>36</v>
      </c>
      <c r="G218" s="5" t="s">
        <v>1329</v>
      </c>
      <c r="H218" s="5" t="s">
        <v>38</v>
      </c>
      <c r="I218" s="5" t="s">
        <v>1330</v>
      </c>
      <c r="J218" s="5" t="s">
        <v>518</v>
      </c>
      <c r="K218" s="5" t="s">
        <v>308</v>
      </c>
      <c r="L218" s="5" t="s">
        <v>1331</v>
      </c>
      <c r="M218" s="5" t="s">
        <v>1332</v>
      </c>
      <c r="N218" s="5" t="s">
        <v>1333</v>
      </c>
      <c r="O218" s="5" t="s">
        <v>38</v>
      </c>
      <c r="P218" s="5" t="s">
        <v>635</v>
      </c>
      <c r="Q218" s="5" t="s">
        <v>1334</v>
      </c>
      <c r="R218" s="4">
        <v>45861</v>
      </c>
      <c r="S218" s="4">
        <v>45709</v>
      </c>
      <c r="T218" s="5" t="str">
        <f>IF(AND(R218="", S218=""), "대기자", IF(AND(R218&lt;&gt;"", S218=""), "취업 중", IF(AND(R218="", S218&lt;&gt;""), "대기자", IF(R218=S218, "", IF(R218 &lt; S218, "대기자", "취업 중")))))</f>
        <v>취업 중</v>
      </c>
      <c r="U218" s="5" t="str">
        <f>IF(J218=""," ",IF(ISNUMBER(SEARCH("소형",J218)),"소형","대형"))</f>
        <v>대형</v>
      </c>
      <c r="V218" s="4">
        <v>45627</v>
      </c>
      <c r="W218" s="5"/>
      <c r="X218" s="5"/>
      <c r="Y218" s="5"/>
      <c r="Z218" s="13" t="s">
        <v>47</v>
      </c>
      <c r="AA218" s="13">
        <v>2</v>
      </c>
      <c r="AB218" s="13" t="s">
        <v>48</v>
      </c>
      <c r="AC218" s="13">
        <v>1</v>
      </c>
      <c r="AD218" s="13" t="s">
        <v>50</v>
      </c>
      <c r="AE218" s="15"/>
      <c r="AF218" s="15"/>
      <c r="AG218" s="15" t="s">
        <v>1335</v>
      </c>
      <c r="AH218" s="15" t="s">
        <v>1336</v>
      </c>
      <c r="AI218" s="6"/>
    </row>
    <row r="219" spans="1:35" ht="19.899999999999999" customHeight="1" x14ac:dyDescent="0.25">
      <c r="A219" s="5">
        <v>216</v>
      </c>
      <c r="B219" s="5" t="s">
        <v>33</v>
      </c>
      <c r="C219" s="5" t="s">
        <v>1337</v>
      </c>
      <c r="D219" s="5" t="s">
        <v>144</v>
      </c>
      <c r="E219" s="5">
        <v>19771101</v>
      </c>
      <c r="F219" s="5" t="s">
        <v>36</v>
      </c>
      <c r="G219" s="5" t="s">
        <v>1338</v>
      </c>
      <c r="H219" s="5" t="s">
        <v>38</v>
      </c>
      <c r="I219" s="5" t="s">
        <v>1339</v>
      </c>
      <c r="J219" s="5"/>
      <c r="K219" s="5"/>
      <c r="L219" s="5"/>
      <c r="M219" s="5"/>
      <c r="N219" s="5"/>
      <c r="O219" s="5"/>
      <c r="P219" s="5"/>
      <c r="Q219" s="5"/>
      <c r="R219" s="4">
        <v>45470</v>
      </c>
      <c r="S219" s="4">
        <v>45880</v>
      </c>
      <c r="T219" s="5" t="str">
        <f>IF(AND(R219="", S219=""), "대기자", IF(AND(R219&lt;&gt;"", S219=""), "취업 중", IF(AND(R219="", S219&lt;&gt;""), "대기자", IF(R219=S219, "", IF(R219 &lt; S219, "대기자", "취업 중")))))</f>
        <v>대기자</v>
      </c>
      <c r="U219" s="5" t="str">
        <f>IF(J219=""," ",IF(ISNUMBER(SEARCH("소형",J219)),"소형","대형"))</f>
        <v xml:space="preserve"> </v>
      </c>
      <c r="V219" s="4">
        <v>40668</v>
      </c>
      <c r="W219" s="5"/>
      <c r="X219" s="5"/>
      <c r="Y219" s="5"/>
      <c r="Z219" s="13"/>
      <c r="AA219" s="13"/>
      <c r="AB219" s="13"/>
      <c r="AC219" s="13"/>
      <c r="AD219" s="13"/>
      <c r="AE219" s="14"/>
      <c r="AF219" s="14"/>
      <c r="AG219" s="14"/>
      <c r="AH219" s="14"/>
      <c r="AI219" s="6"/>
    </row>
    <row r="220" spans="1:35" ht="19.899999999999999" customHeight="1" x14ac:dyDescent="0.25">
      <c r="A220" s="5">
        <v>217</v>
      </c>
      <c r="B220" s="5" t="s">
        <v>33</v>
      </c>
      <c r="C220" s="5" t="s">
        <v>1340</v>
      </c>
      <c r="D220" s="5" t="s">
        <v>285</v>
      </c>
      <c r="E220" s="5">
        <v>19730217</v>
      </c>
      <c r="F220" s="5" t="s">
        <v>36</v>
      </c>
      <c r="G220" s="5" t="s">
        <v>1341</v>
      </c>
      <c r="H220" s="5" t="s">
        <v>38</v>
      </c>
      <c r="I220" s="5" t="s">
        <v>1342</v>
      </c>
      <c r="J220" s="5" t="s">
        <v>40</v>
      </c>
      <c r="K220" s="5" t="s">
        <v>76</v>
      </c>
      <c r="L220" s="5" t="s">
        <v>1343</v>
      </c>
      <c r="M220" s="5" t="s">
        <v>1344</v>
      </c>
      <c r="N220" s="5" t="s">
        <v>1345</v>
      </c>
      <c r="O220" s="5" t="s">
        <v>38</v>
      </c>
      <c r="P220" s="5" t="s">
        <v>512</v>
      </c>
      <c r="Q220" s="5" t="s">
        <v>1346</v>
      </c>
      <c r="R220" s="4">
        <v>46209</v>
      </c>
      <c r="S220" s="4">
        <v>45621</v>
      </c>
      <c r="T220" s="5" t="str">
        <f>IF(AND(R220="", S220=""), "대기자", IF(AND(R220&lt;&gt;"", S220=""), "취업 중", IF(AND(R220="", S220&lt;&gt;""), "대기자", IF(R220=S220, "", IF(R220 &lt; S220, "대기자", "취업 중")))))</f>
        <v>취업 중</v>
      </c>
      <c r="U220" s="5" t="str">
        <f>IF(J220=""," ",IF(ISNUMBER(SEARCH("소형",J220)),"소형","대형"))</f>
        <v>대형</v>
      </c>
      <c r="V220" s="4">
        <v>38353</v>
      </c>
      <c r="W220" s="5"/>
      <c r="X220" s="5"/>
      <c r="Y220" s="5"/>
      <c r="Z220" s="13" t="s">
        <v>47</v>
      </c>
      <c r="AA220" s="13">
        <v>2</v>
      </c>
      <c r="AB220" s="13" t="s">
        <v>49</v>
      </c>
      <c r="AC220" s="13">
        <v>0</v>
      </c>
      <c r="AD220" s="13">
        <v>0</v>
      </c>
      <c r="AE220" s="15"/>
      <c r="AF220" s="15"/>
      <c r="AG220" s="15"/>
      <c r="AH220" s="15"/>
      <c r="AI220" s="6"/>
    </row>
    <row r="221" spans="1:35" ht="19.899999999999999" customHeight="1" x14ac:dyDescent="0.25">
      <c r="A221" s="5">
        <v>218</v>
      </c>
      <c r="B221" s="5" t="s">
        <v>33</v>
      </c>
      <c r="C221" s="5" t="s">
        <v>1347</v>
      </c>
      <c r="D221" s="5" t="s">
        <v>179</v>
      </c>
      <c r="E221" s="5">
        <v>19720102</v>
      </c>
      <c r="F221" s="5" t="s">
        <v>36</v>
      </c>
      <c r="G221" s="5" t="s">
        <v>1348</v>
      </c>
      <c r="H221" s="5" t="s">
        <v>38</v>
      </c>
      <c r="I221" s="5" t="s">
        <v>1349</v>
      </c>
      <c r="J221" s="5" t="s">
        <v>59</v>
      </c>
      <c r="K221" s="5" t="s">
        <v>112</v>
      </c>
      <c r="L221" s="5" t="s">
        <v>1350</v>
      </c>
      <c r="M221" s="5" t="s">
        <v>1351</v>
      </c>
      <c r="N221" s="5" t="s">
        <v>1352</v>
      </c>
      <c r="O221" s="5" t="s">
        <v>38</v>
      </c>
      <c r="P221" s="5" t="s">
        <v>215</v>
      </c>
      <c r="Q221" s="5" t="s">
        <v>1353</v>
      </c>
      <c r="R221" s="4">
        <v>45800</v>
      </c>
      <c r="S221" s="4">
        <v>45377</v>
      </c>
      <c r="T221" s="5" t="str">
        <f>IF(AND(R221="", S221=""), "대기자", IF(AND(R221&lt;&gt;"", S221=""), "취업 중", IF(AND(R221="", S221&lt;&gt;""), "대기자", IF(R221=S221, "", IF(R221 &lt; S221, "대기자", "취업 중")))))</f>
        <v>취업 중</v>
      </c>
      <c r="U221" s="5" t="str">
        <f>IF(J221=""," ",IF(ISNUMBER(SEARCH("소형",J221)),"소형","대형"))</f>
        <v>대형</v>
      </c>
      <c r="V221" s="4">
        <v>44180</v>
      </c>
      <c r="W221" s="5"/>
      <c r="X221" s="5"/>
      <c r="Y221" s="5"/>
      <c r="Z221" s="13" t="s">
        <v>49</v>
      </c>
      <c r="AA221" s="13" t="s">
        <v>48</v>
      </c>
      <c r="AB221" s="13" t="s">
        <v>48</v>
      </c>
      <c r="AC221" s="13" t="s">
        <v>50</v>
      </c>
      <c r="AD221" s="13" t="s">
        <v>50</v>
      </c>
      <c r="AE221" s="14" t="s">
        <v>258</v>
      </c>
      <c r="AF221" s="14" t="s">
        <v>183</v>
      </c>
      <c r="AG221" s="14" t="s">
        <v>83</v>
      </c>
      <c r="AH221" s="14" t="s">
        <v>1354</v>
      </c>
      <c r="AI221" s="6"/>
    </row>
    <row r="222" spans="1:35" ht="19.899999999999999" customHeight="1" x14ac:dyDescent="0.25">
      <c r="A222" s="5">
        <v>219</v>
      </c>
      <c r="B222" s="5" t="s">
        <v>33</v>
      </c>
      <c r="C222" s="5" t="s">
        <v>1355</v>
      </c>
      <c r="D222" s="5" t="s">
        <v>35</v>
      </c>
      <c r="E222" s="5">
        <v>19681115</v>
      </c>
      <c r="F222" s="5" t="s">
        <v>36</v>
      </c>
      <c r="G222" s="5" t="s">
        <v>1356</v>
      </c>
      <c r="H222" s="5" t="s">
        <v>38</v>
      </c>
      <c r="I222" s="5" t="s">
        <v>1357</v>
      </c>
      <c r="J222" s="5"/>
      <c r="K222" s="5"/>
      <c r="L222" s="5"/>
      <c r="M222" s="5"/>
      <c r="N222" s="5"/>
      <c r="O222" s="5"/>
      <c r="P222" s="5"/>
      <c r="Q222" s="5"/>
      <c r="R222" s="4">
        <v>44510</v>
      </c>
      <c r="S222" s="4">
        <v>45740</v>
      </c>
      <c r="T222" s="5" t="str">
        <f>IF(AND(R222="", S222=""), "대기자", IF(AND(R222&lt;&gt;"", S222=""), "취업 중", IF(AND(R222="", S222&lt;&gt;""), "대기자", IF(R222=S222, "", IF(R222 &lt; S222, "대기자", "취업 중")))))</f>
        <v>대기자</v>
      </c>
      <c r="U222" s="5" t="str">
        <f>IF(J222=""," ",IF(ISNUMBER(SEARCH("소형",J222)),"소형","대형"))</f>
        <v xml:space="preserve"> </v>
      </c>
      <c r="V222" s="4">
        <v>39083</v>
      </c>
      <c r="W222" s="5"/>
      <c r="X222" s="5"/>
      <c r="Y222" s="5"/>
      <c r="Z222" s="13"/>
      <c r="AA222" s="13"/>
      <c r="AB222" s="13"/>
      <c r="AC222" s="13"/>
      <c r="AD222" s="13"/>
      <c r="AE222" s="15"/>
      <c r="AF222" s="15"/>
      <c r="AG222" s="15"/>
      <c r="AH222" s="15"/>
      <c r="AI222" s="6"/>
    </row>
    <row r="223" spans="1:35" ht="19.899999999999999" customHeight="1" x14ac:dyDescent="0.25">
      <c r="A223" s="5">
        <v>220</v>
      </c>
      <c r="B223" s="5" t="s">
        <v>33</v>
      </c>
      <c r="C223" s="5" t="s">
        <v>1358</v>
      </c>
      <c r="D223" s="5" t="s">
        <v>72</v>
      </c>
      <c r="E223" s="5">
        <v>19671001</v>
      </c>
      <c r="F223" s="5" t="s">
        <v>36</v>
      </c>
      <c r="G223" s="5" t="s">
        <v>1359</v>
      </c>
      <c r="H223" s="5" t="s">
        <v>38</v>
      </c>
      <c r="I223" s="5" t="s">
        <v>1360</v>
      </c>
      <c r="J223" s="5"/>
      <c r="K223" s="5"/>
      <c r="L223" s="5"/>
      <c r="M223" s="5"/>
      <c r="N223" s="5"/>
      <c r="O223" s="5"/>
      <c r="P223" s="5"/>
      <c r="Q223" s="5"/>
      <c r="R223" s="4">
        <v>46007</v>
      </c>
      <c r="S223" s="4">
        <v>46260</v>
      </c>
      <c r="T223" s="5" t="str">
        <f>IF(AND(R223="", S223=""), "대기자", IF(AND(R223&lt;&gt;"", S223=""), "취업 중", IF(AND(R223="", S223&lt;&gt;""), "대기자", IF(R223=S223, "", IF(R223 &lt; S223, "대기자", "취업 중")))))</f>
        <v>대기자</v>
      </c>
      <c r="U223" s="5" t="str">
        <f>IF(J223=""," ",IF(ISNUMBER(SEARCH("소형",J223)),"소형","대형"))</f>
        <v xml:space="preserve"> </v>
      </c>
      <c r="V223" s="4">
        <v>42480</v>
      </c>
      <c r="W223" s="5"/>
      <c r="X223" s="5"/>
      <c r="Y223" s="5"/>
      <c r="Z223" s="13"/>
      <c r="AA223" s="13"/>
      <c r="AB223" s="13"/>
      <c r="AC223" s="13"/>
      <c r="AD223" s="13"/>
      <c r="AE223" s="14"/>
      <c r="AF223" s="14"/>
      <c r="AG223" s="14" t="s">
        <v>184</v>
      </c>
      <c r="AH223" s="14" t="s">
        <v>1361</v>
      </c>
      <c r="AI223" s="6"/>
    </row>
    <row r="224" spans="1:35" ht="19.899999999999999" customHeight="1" x14ac:dyDescent="0.25">
      <c r="A224" s="5">
        <v>221</v>
      </c>
      <c r="B224" s="5" t="s">
        <v>33</v>
      </c>
      <c r="C224" s="5" t="s">
        <v>1362</v>
      </c>
      <c r="D224" s="5" t="s">
        <v>179</v>
      </c>
      <c r="E224" s="5">
        <v>19720530</v>
      </c>
      <c r="F224" s="5" t="s">
        <v>36</v>
      </c>
      <c r="G224" s="5" t="s">
        <v>1363</v>
      </c>
      <c r="H224" s="5" t="s">
        <v>38</v>
      </c>
      <c r="I224" s="5" t="s">
        <v>1364</v>
      </c>
      <c r="J224" s="5" t="s">
        <v>814</v>
      </c>
      <c r="K224" s="5" t="s">
        <v>76</v>
      </c>
      <c r="L224" s="5" t="s">
        <v>1365</v>
      </c>
      <c r="M224" s="5" t="s">
        <v>1366</v>
      </c>
      <c r="N224" s="5" t="s">
        <v>1367</v>
      </c>
      <c r="O224" s="5" t="s">
        <v>38</v>
      </c>
      <c r="P224" s="5" t="s">
        <v>635</v>
      </c>
      <c r="Q224" s="5" t="s">
        <v>1368</v>
      </c>
      <c r="R224" s="4">
        <v>45822</v>
      </c>
      <c r="S224" s="4">
        <v>45303</v>
      </c>
      <c r="T224" s="5" t="str">
        <f>IF(AND(R224="", S224=""), "대기자", IF(AND(R224&lt;&gt;"", S224=""), "취업 중", IF(AND(R224="", S224&lt;&gt;""), "대기자", IF(R224=S224, "", IF(R224 &lt; S224, "대기자", "취업 중")))))</f>
        <v>취업 중</v>
      </c>
      <c r="U224" s="5" t="str">
        <f>IF(J224=""," ",IF(ISNUMBER(SEARCH("소형",J224)),"소형","대형"))</f>
        <v>대형</v>
      </c>
      <c r="V224" s="4">
        <v>43497</v>
      </c>
      <c r="W224" s="5"/>
      <c r="X224" s="5"/>
      <c r="Y224" s="5"/>
      <c r="Z224" s="13" t="s">
        <v>47</v>
      </c>
      <c r="AA224" s="13" t="s">
        <v>48</v>
      </c>
      <c r="AB224" s="13" t="s">
        <v>48</v>
      </c>
      <c r="AC224" s="13" t="s">
        <v>50</v>
      </c>
      <c r="AD224" s="13" t="s">
        <v>49</v>
      </c>
      <c r="AE224" s="15" t="s">
        <v>182</v>
      </c>
      <c r="AF224" s="15" t="s">
        <v>1171</v>
      </c>
      <c r="AG224" s="15" t="s">
        <v>184</v>
      </c>
      <c r="AH224" s="15" t="s">
        <v>1369</v>
      </c>
      <c r="AI224" s="6"/>
    </row>
    <row r="225" spans="1:35" ht="19.899999999999999" customHeight="1" x14ac:dyDescent="0.25">
      <c r="A225" s="5">
        <v>222</v>
      </c>
      <c r="B225" s="5" t="s">
        <v>33</v>
      </c>
      <c r="C225" s="5" t="s">
        <v>1370</v>
      </c>
      <c r="D225" s="5" t="s">
        <v>56</v>
      </c>
      <c r="E225" s="5">
        <v>19760222</v>
      </c>
      <c r="F225" s="5" t="s">
        <v>36</v>
      </c>
      <c r="G225" s="5" t="s">
        <v>1371</v>
      </c>
      <c r="H225" s="5" t="s">
        <v>38</v>
      </c>
      <c r="I225" s="5" t="s">
        <v>1372</v>
      </c>
      <c r="J225" s="5" t="s">
        <v>1000</v>
      </c>
      <c r="K225" s="5" t="s">
        <v>1001</v>
      </c>
      <c r="L225" s="5" t="s">
        <v>1373</v>
      </c>
      <c r="M225" s="5" t="s">
        <v>1374</v>
      </c>
      <c r="N225" s="5" t="s">
        <v>1375</v>
      </c>
      <c r="O225" s="5" t="s">
        <v>38</v>
      </c>
      <c r="P225" s="5" t="s">
        <v>64</v>
      </c>
      <c r="Q225" s="5" t="s">
        <v>1376</v>
      </c>
      <c r="R225" s="4">
        <v>46245</v>
      </c>
      <c r="S225" s="4">
        <v>46135</v>
      </c>
      <c r="T225" s="5" t="str">
        <f>IF(AND(R225="", S225=""), "대기자", IF(AND(R225&lt;&gt;"", S225=""), "취업 중", IF(AND(R225="", S225&lt;&gt;""), "대기자", IF(R225=S225, "", IF(R225 &lt; S225, "대기자", "취업 중")))))</f>
        <v>취업 중</v>
      </c>
      <c r="U225" s="5" t="str">
        <f>IF(J225=""," ",IF(ISNUMBER(SEARCH("소형",J225)),"소형","대형"))</f>
        <v>대형</v>
      </c>
      <c r="V225" s="4">
        <v>42005</v>
      </c>
      <c r="W225" s="5"/>
      <c r="X225" s="5"/>
      <c r="Y225" s="5"/>
      <c r="Z225" s="13">
        <v>3</v>
      </c>
      <c r="AA225" s="13">
        <v>1</v>
      </c>
      <c r="AB225" s="13">
        <v>2</v>
      </c>
      <c r="AC225" s="13">
        <v>0</v>
      </c>
      <c r="AD225" s="13">
        <v>0</v>
      </c>
      <c r="AE225" s="14"/>
      <c r="AF225" s="14"/>
      <c r="AG225" s="14"/>
      <c r="AH225" s="14"/>
      <c r="AI225" s="6"/>
    </row>
    <row r="226" spans="1:35" ht="19.899999999999999" customHeight="1" x14ac:dyDescent="0.25">
      <c r="A226" s="5">
        <v>223</v>
      </c>
      <c r="B226" s="5" t="s">
        <v>33</v>
      </c>
      <c r="C226" s="5" t="s">
        <v>1377</v>
      </c>
      <c r="D226" s="5" t="s">
        <v>179</v>
      </c>
      <c r="E226" s="5">
        <v>19960702</v>
      </c>
      <c r="F226" s="5" t="s">
        <v>36</v>
      </c>
      <c r="G226" s="5" t="s">
        <v>1378</v>
      </c>
      <c r="H226" s="5" t="s">
        <v>38</v>
      </c>
      <c r="I226" s="5" t="s">
        <v>1379</v>
      </c>
      <c r="J226" s="5"/>
      <c r="K226" s="5"/>
      <c r="L226" s="5"/>
      <c r="M226" s="5"/>
      <c r="N226" s="5"/>
      <c r="O226" s="5"/>
      <c r="P226" s="5"/>
      <c r="Q226" s="5"/>
      <c r="R226" s="4">
        <v>45831</v>
      </c>
      <c r="S226" s="4">
        <v>46200</v>
      </c>
      <c r="T226" s="5" t="str">
        <f>IF(AND(R226="", S226=""), "대기자", IF(AND(R226&lt;&gt;"", S226=""), "취업 중", IF(AND(R226="", S226&lt;&gt;""), "대기자", IF(R226=S226, "", IF(R226 &lt; S226, "대기자", "취업 중")))))</f>
        <v>대기자</v>
      </c>
      <c r="U226" s="5" t="str">
        <f>IF(J226=""," ",IF(ISNUMBER(SEARCH("소형",J226)),"소형","대형"))</f>
        <v xml:space="preserve"> </v>
      </c>
      <c r="V226" s="4">
        <v>42808</v>
      </c>
      <c r="W226" s="5"/>
      <c r="X226" s="5"/>
      <c r="Y226" s="5"/>
      <c r="Z226" s="13"/>
      <c r="AA226" s="13"/>
      <c r="AB226" s="13"/>
      <c r="AC226" s="13"/>
      <c r="AD226" s="13"/>
      <c r="AE226" s="15" t="s">
        <v>258</v>
      </c>
      <c r="AF226" s="15"/>
      <c r="AG226" s="15"/>
      <c r="AH226" s="15" t="s">
        <v>1380</v>
      </c>
      <c r="AI226" s="6"/>
    </row>
    <row r="227" spans="1:35" ht="19.899999999999999" customHeight="1" x14ac:dyDescent="0.25">
      <c r="A227" s="5">
        <v>224</v>
      </c>
      <c r="B227" s="5" t="s">
        <v>33</v>
      </c>
      <c r="C227" s="5" t="s">
        <v>1381</v>
      </c>
      <c r="D227" s="5" t="s">
        <v>67</v>
      </c>
      <c r="E227" s="5">
        <v>19811205</v>
      </c>
      <c r="F227" s="5" t="s">
        <v>36</v>
      </c>
      <c r="G227" s="5" t="s">
        <v>1382</v>
      </c>
      <c r="H227" s="5" t="s">
        <v>38</v>
      </c>
      <c r="I227" s="5" t="s">
        <v>1383</v>
      </c>
      <c r="J227" s="5"/>
      <c r="K227" s="5"/>
      <c r="L227" s="5"/>
      <c r="M227" s="5"/>
      <c r="N227" s="5"/>
      <c r="O227" s="5"/>
      <c r="P227" s="5"/>
      <c r="Q227" s="5"/>
      <c r="R227" s="4">
        <v>45239</v>
      </c>
      <c r="S227" s="4">
        <v>45850</v>
      </c>
      <c r="T227" s="5" t="str">
        <f>IF(AND(R227="", S227=""), "대기자", IF(AND(R227&lt;&gt;"", S227=""), "취업 중", IF(AND(R227="", S227&lt;&gt;""), "대기자", IF(R227=S227, "", IF(R227 &lt; S227, "대기자", "취업 중")))))</f>
        <v>대기자</v>
      </c>
      <c r="U227" s="5" t="str">
        <f>IF(J227=""," ",IF(ISNUMBER(SEARCH("소형",J227)),"소형","대형"))</f>
        <v xml:space="preserve"> </v>
      </c>
      <c r="V227" s="4">
        <v>43644</v>
      </c>
      <c r="W227" s="5"/>
      <c r="X227" s="5"/>
      <c r="Y227" s="5"/>
      <c r="Z227" s="13"/>
      <c r="AA227" s="13"/>
      <c r="AB227" s="13"/>
      <c r="AC227" s="13"/>
      <c r="AD227" s="13"/>
      <c r="AE227" s="14"/>
      <c r="AF227" s="14"/>
      <c r="AG227" s="14"/>
      <c r="AH227" s="14"/>
      <c r="AI227" s="6"/>
    </row>
    <row r="228" spans="1:35" ht="19.899999999999999" customHeight="1" x14ac:dyDescent="0.25">
      <c r="A228" s="5">
        <v>225</v>
      </c>
      <c r="B228" s="5" t="s">
        <v>33</v>
      </c>
      <c r="C228" s="5" t="s">
        <v>1384</v>
      </c>
      <c r="D228" s="5" t="s">
        <v>35</v>
      </c>
      <c r="E228" s="5">
        <v>19690516</v>
      </c>
      <c r="F228" s="5" t="s">
        <v>36</v>
      </c>
      <c r="G228" s="5" t="s">
        <v>1385</v>
      </c>
      <c r="H228" s="5" t="s">
        <v>38</v>
      </c>
      <c r="I228" s="5" t="s">
        <v>1386</v>
      </c>
      <c r="J228" s="5" t="s">
        <v>75</v>
      </c>
      <c r="K228" s="5" t="s">
        <v>88</v>
      </c>
      <c r="L228" s="5" t="s">
        <v>1387</v>
      </c>
      <c r="M228" s="5" t="s">
        <v>1388</v>
      </c>
      <c r="N228" s="5" t="s">
        <v>1389</v>
      </c>
      <c r="O228" s="5" t="s">
        <v>38</v>
      </c>
      <c r="P228" s="5" t="s">
        <v>1055</v>
      </c>
      <c r="Q228" s="5" t="s">
        <v>1390</v>
      </c>
      <c r="R228" s="4">
        <v>45692</v>
      </c>
      <c r="S228" s="4">
        <v>45633</v>
      </c>
      <c r="T228" s="5" t="str">
        <f>IF(AND(R228="", S228=""), "대기자", IF(AND(R228&lt;&gt;"", S228=""), "취업 중", IF(AND(R228="", S228&lt;&gt;""), "대기자", IF(R228=S228, "", IF(R228 &lt; S228, "대기자", "취업 중")))))</f>
        <v>취업 중</v>
      </c>
      <c r="U228" s="5" t="str">
        <f>IF(J228=""," ",IF(ISNUMBER(SEARCH("소형",J228)),"소형","대형"))</f>
        <v>대형</v>
      </c>
      <c r="V228" s="4">
        <v>39083</v>
      </c>
      <c r="W228" s="5"/>
      <c r="X228" s="5"/>
      <c r="Y228" s="5"/>
      <c r="Z228" s="13" t="s">
        <v>94</v>
      </c>
      <c r="AA228" s="13" t="s">
        <v>49</v>
      </c>
      <c r="AB228" s="13" t="s">
        <v>49</v>
      </c>
      <c r="AC228" s="13" t="s">
        <v>48</v>
      </c>
      <c r="AD228" s="13" t="s">
        <v>50</v>
      </c>
      <c r="AE228" s="15"/>
      <c r="AF228" s="15"/>
      <c r="AG228" s="15" t="s">
        <v>83</v>
      </c>
      <c r="AH228" s="15" t="s">
        <v>1391</v>
      </c>
      <c r="AI228" s="6"/>
    </row>
    <row r="229" spans="1:35" ht="19.899999999999999" customHeight="1" x14ac:dyDescent="0.25">
      <c r="A229" s="5">
        <v>226</v>
      </c>
      <c r="B229" s="5" t="s">
        <v>33</v>
      </c>
      <c r="C229" s="5" t="s">
        <v>1392</v>
      </c>
      <c r="D229" s="5" t="s">
        <v>99</v>
      </c>
      <c r="E229" s="5">
        <v>19651107</v>
      </c>
      <c r="F229" s="5" t="s">
        <v>36</v>
      </c>
      <c r="G229" s="5" t="s">
        <v>1393</v>
      </c>
      <c r="H229" s="5" t="s">
        <v>38</v>
      </c>
      <c r="I229" s="5" t="s">
        <v>1394</v>
      </c>
      <c r="J229" s="5"/>
      <c r="K229" s="5"/>
      <c r="L229" s="5"/>
      <c r="M229" s="5"/>
      <c r="N229" s="5"/>
      <c r="O229" s="5"/>
      <c r="P229" s="5"/>
      <c r="Q229" s="5"/>
      <c r="R229" s="4">
        <v>45754</v>
      </c>
      <c r="S229" s="4">
        <v>46280</v>
      </c>
      <c r="T229" s="5" t="str">
        <f>IF(AND(R229="", S229=""), "대기자", IF(AND(R229&lt;&gt;"", S229=""), "취업 중", IF(AND(R229="", S229&lt;&gt;""), "대기자", IF(R229=S229, "", IF(R229 &lt; S229, "대기자", "취업 중")))))</f>
        <v>대기자</v>
      </c>
      <c r="U229" s="5" t="str">
        <f>IF(J229=""," ",IF(ISNUMBER(SEARCH("소형",J229)),"소형","대형"))</f>
        <v xml:space="preserve"> </v>
      </c>
      <c r="V229" s="4">
        <v>43154</v>
      </c>
      <c r="W229" s="5"/>
      <c r="X229" s="5"/>
      <c r="Y229" s="5"/>
      <c r="Z229" s="13"/>
      <c r="AA229" s="13"/>
      <c r="AB229" s="13"/>
      <c r="AC229" s="13"/>
      <c r="AD229" s="13"/>
      <c r="AE229" s="14"/>
      <c r="AF229" s="14"/>
      <c r="AG229" s="14" t="s">
        <v>274</v>
      </c>
      <c r="AH229" s="14" t="s">
        <v>1395</v>
      </c>
      <c r="AI229" s="6"/>
    </row>
    <row r="230" spans="1:35" ht="19.899999999999999" customHeight="1" x14ac:dyDescent="0.25">
      <c r="A230" s="5">
        <v>227</v>
      </c>
      <c r="B230" s="5" t="s">
        <v>33</v>
      </c>
      <c r="C230" s="5" t="s">
        <v>1396</v>
      </c>
      <c r="D230" s="5" t="s">
        <v>56</v>
      </c>
      <c r="E230" s="5">
        <v>19741010</v>
      </c>
      <c r="F230" s="5" t="s">
        <v>36</v>
      </c>
      <c r="G230" s="5" t="s">
        <v>1397</v>
      </c>
      <c r="H230" s="5" t="s">
        <v>38</v>
      </c>
      <c r="I230" s="5" t="s">
        <v>1398</v>
      </c>
      <c r="J230" s="5" t="s">
        <v>75</v>
      </c>
      <c r="K230" s="5" t="s">
        <v>88</v>
      </c>
      <c r="L230" s="5" t="s">
        <v>1387</v>
      </c>
      <c r="M230" s="5" t="s">
        <v>1388</v>
      </c>
      <c r="N230" s="5" t="s">
        <v>1389</v>
      </c>
      <c r="O230" s="5" t="s">
        <v>38</v>
      </c>
      <c r="P230" s="5" t="s">
        <v>1055</v>
      </c>
      <c r="Q230" s="5" t="s">
        <v>1390</v>
      </c>
      <c r="R230" s="4">
        <v>45537</v>
      </c>
      <c r="S230" s="4">
        <v>45268</v>
      </c>
      <c r="T230" s="5" t="str">
        <f>IF(AND(R230="", S230=""), "대기자", IF(AND(R230&lt;&gt;"", S230=""), "취업 중", IF(AND(R230="", S230&lt;&gt;""), "대기자", IF(R230=S230, "", IF(R230 &lt; S230, "대기자", "취업 중")))))</f>
        <v>취업 중</v>
      </c>
      <c r="U230" s="5" t="str">
        <f>IF(J230=""," ",IF(ISNUMBER(SEARCH("소형",J230)),"소형","대형"))</f>
        <v>대형</v>
      </c>
      <c r="V230" s="4">
        <v>40400</v>
      </c>
      <c r="W230" s="5"/>
      <c r="X230" s="5"/>
      <c r="Y230" s="5"/>
      <c r="Z230" s="13" t="s">
        <v>94</v>
      </c>
      <c r="AA230" s="13" t="s">
        <v>49</v>
      </c>
      <c r="AB230" s="13" t="s">
        <v>49</v>
      </c>
      <c r="AC230" s="13" t="s">
        <v>50</v>
      </c>
      <c r="AD230" s="13" t="s">
        <v>48</v>
      </c>
      <c r="AE230" s="15"/>
      <c r="AF230" s="15"/>
      <c r="AG230" s="15" t="s">
        <v>83</v>
      </c>
      <c r="AH230" s="15" t="s">
        <v>1399</v>
      </c>
      <c r="AI230" s="6"/>
    </row>
    <row r="231" spans="1:35" ht="19.899999999999999" customHeight="1" x14ac:dyDescent="0.25">
      <c r="A231" s="5">
        <v>228</v>
      </c>
      <c r="B231" s="5" t="s">
        <v>33</v>
      </c>
      <c r="C231" s="5" t="s">
        <v>1400</v>
      </c>
      <c r="D231" s="5" t="s">
        <v>285</v>
      </c>
      <c r="E231" s="5">
        <v>19790101</v>
      </c>
      <c r="F231" s="5" t="s">
        <v>36</v>
      </c>
      <c r="G231" s="5" t="s">
        <v>1401</v>
      </c>
      <c r="H231" s="5" t="s">
        <v>38</v>
      </c>
      <c r="I231" s="5" t="s">
        <v>1402</v>
      </c>
      <c r="J231" s="5" t="s">
        <v>40</v>
      </c>
      <c r="K231" s="5" t="s">
        <v>421</v>
      </c>
      <c r="L231" s="5" t="s">
        <v>422</v>
      </c>
      <c r="M231" s="5" t="s">
        <v>1403</v>
      </c>
      <c r="N231" s="5" t="s">
        <v>424</v>
      </c>
      <c r="O231" s="5" t="s">
        <v>38</v>
      </c>
      <c r="P231" s="5" t="s">
        <v>152</v>
      </c>
      <c r="Q231" s="5" t="s">
        <v>425</v>
      </c>
      <c r="R231" s="4">
        <v>46174</v>
      </c>
      <c r="S231" s="4">
        <v>45780</v>
      </c>
      <c r="T231" s="5" t="str">
        <f>IF(AND(R231="", S231=""), "대기자", IF(AND(R231&lt;&gt;"", S231=""), "취업 중", IF(AND(R231="", S231&lt;&gt;""), "대기자", IF(R231=S231, "", IF(R231 &lt; S231, "대기자", "취업 중")))))</f>
        <v>취업 중</v>
      </c>
      <c r="U231" s="5" t="str">
        <f>IF(J231=""," ",IF(ISNUMBER(SEARCH("소형",J231)),"소형","대형"))</f>
        <v>대형</v>
      </c>
      <c r="V231" s="4">
        <v>41105</v>
      </c>
      <c r="W231" s="5"/>
      <c r="X231" s="5"/>
      <c r="Y231" s="5"/>
      <c r="Z231" s="13" t="s">
        <v>49</v>
      </c>
      <c r="AA231" s="13" t="s">
        <v>48</v>
      </c>
      <c r="AB231" s="13" t="s">
        <v>48</v>
      </c>
      <c r="AC231" s="13" t="s">
        <v>50</v>
      </c>
      <c r="AD231" s="13" t="s">
        <v>50</v>
      </c>
      <c r="AE231" s="14"/>
      <c r="AF231" s="14"/>
      <c r="AG231" s="14"/>
      <c r="AH231" s="14"/>
      <c r="AI231" s="6"/>
    </row>
    <row r="232" spans="1:35" ht="19.899999999999999" customHeight="1" x14ac:dyDescent="0.25">
      <c r="A232" s="5">
        <v>229</v>
      </c>
      <c r="B232" s="5" t="s">
        <v>33</v>
      </c>
      <c r="C232" s="5" t="s">
        <v>1404</v>
      </c>
      <c r="D232" s="5" t="s">
        <v>35</v>
      </c>
      <c r="E232" s="5">
        <v>19741028</v>
      </c>
      <c r="F232" s="5" t="s">
        <v>36</v>
      </c>
      <c r="G232" s="5" t="s">
        <v>1405</v>
      </c>
      <c r="H232" s="5" t="s">
        <v>38</v>
      </c>
      <c r="I232" s="5" t="s">
        <v>1406</v>
      </c>
      <c r="J232" s="5" t="s">
        <v>159</v>
      </c>
      <c r="K232" s="5" t="s">
        <v>1407</v>
      </c>
      <c r="L232" s="5" t="s">
        <v>1408</v>
      </c>
      <c r="M232" s="5" t="s">
        <v>1409</v>
      </c>
      <c r="N232" s="5" t="s">
        <v>1410</v>
      </c>
      <c r="O232" s="5" t="s">
        <v>38</v>
      </c>
      <c r="P232" s="5" t="s">
        <v>512</v>
      </c>
      <c r="Q232" s="5" t="s">
        <v>1411</v>
      </c>
      <c r="R232" s="4">
        <v>46252</v>
      </c>
      <c r="S232" s="4">
        <v>45927</v>
      </c>
      <c r="T232" s="5" t="str">
        <f>IF(AND(R232="", S232=""), "대기자", IF(AND(R232&lt;&gt;"", S232=""), "취업 중", IF(AND(R232="", S232&lt;&gt;""), "대기자", IF(R232=S232, "", IF(R232 &lt; S232, "대기자", "취업 중")))))</f>
        <v>취업 중</v>
      </c>
      <c r="U232" s="5" t="str">
        <f>IF(J232=""," ",IF(ISNUMBER(SEARCH("소형",J232)),"소형","대형"))</f>
        <v>대형</v>
      </c>
      <c r="V232" s="4">
        <v>40668</v>
      </c>
      <c r="W232" s="5"/>
      <c r="X232" s="5"/>
      <c r="Y232" s="5"/>
      <c r="Z232" s="13">
        <v>3</v>
      </c>
      <c r="AA232" s="13">
        <v>2</v>
      </c>
      <c r="AB232" s="13">
        <v>1</v>
      </c>
      <c r="AC232" s="13">
        <v>0</v>
      </c>
      <c r="AD232" s="13">
        <v>0</v>
      </c>
      <c r="AE232" s="15"/>
      <c r="AF232" s="15"/>
      <c r="AG232" s="15"/>
      <c r="AH232" s="15"/>
      <c r="AI232" s="6"/>
    </row>
    <row r="233" spans="1:35" ht="19.899999999999999" customHeight="1" x14ac:dyDescent="0.25">
      <c r="A233" s="5">
        <v>230</v>
      </c>
      <c r="B233" s="5" t="s">
        <v>33</v>
      </c>
      <c r="C233" s="5" t="s">
        <v>1412</v>
      </c>
      <c r="D233" s="5" t="s">
        <v>285</v>
      </c>
      <c r="E233" s="5">
        <v>19641108</v>
      </c>
      <c r="F233" s="5" t="s">
        <v>36</v>
      </c>
      <c r="G233" s="5" t="s">
        <v>1413</v>
      </c>
      <c r="H233" s="5" t="s">
        <v>38</v>
      </c>
      <c r="I233" s="5" t="s">
        <v>1414</v>
      </c>
      <c r="J233" s="5" t="s">
        <v>1415</v>
      </c>
      <c r="K233" s="5" t="s">
        <v>1001</v>
      </c>
      <c r="L233" s="5" t="s">
        <v>1416</v>
      </c>
      <c r="M233" s="5" t="s">
        <v>1417</v>
      </c>
      <c r="N233" s="5" t="s">
        <v>1418</v>
      </c>
      <c r="O233" s="5" t="s">
        <v>38</v>
      </c>
      <c r="P233" s="5" t="s">
        <v>132</v>
      </c>
      <c r="Q233" s="5" t="s">
        <v>1419</v>
      </c>
      <c r="R233" s="4">
        <v>45861</v>
      </c>
      <c r="S233" s="4">
        <v>45395</v>
      </c>
      <c r="T233" s="5" t="str">
        <f>IF(AND(R233="", S233=""), "대기자", IF(AND(R233&lt;&gt;"", S233=""), "취업 중", IF(AND(R233="", S233&lt;&gt;""), "대기자", IF(R233=S233, "", IF(R233 &lt; S233, "대기자", "취업 중")))))</f>
        <v>취업 중</v>
      </c>
      <c r="U233" s="5" t="str">
        <f>IF(J233=""," ",IF(ISNUMBER(SEARCH("소형",J233)),"소형","대형"))</f>
        <v>대형</v>
      </c>
      <c r="V233" s="4">
        <v>39814</v>
      </c>
      <c r="W233" s="5"/>
      <c r="X233" s="5"/>
      <c r="Y233" s="5"/>
      <c r="Z233" s="13" t="s">
        <v>70</v>
      </c>
      <c r="AA233" s="13" t="s">
        <v>48</v>
      </c>
      <c r="AB233" s="13" t="s">
        <v>48</v>
      </c>
      <c r="AC233" s="13" t="s">
        <v>48</v>
      </c>
      <c r="AD233" s="13" t="s">
        <v>50</v>
      </c>
      <c r="AE233" s="14"/>
      <c r="AF233" s="14"/>
      <c r="AG233" s="14" t="s">
        <v>1420</v>
      </c>
      <c r="AH233" s="14" t="s">
        <v>1421</v>
      </c>
      <c r="AI233" s="6"/>
    </row>
    <row r="234" spans="1:35" ht="19.899999999999999" customHeight="1" x14ac:dyDescent="0.25">
      <c r="A234" s="5">
        <v>231</v>
      </c>
      <c r="B234" s="5" t="s">
        <v>33</v>
      </c>
      <c r="C234" s="5" t="s">
        <v>1422</v>
      </c>
      <c r="D234" s="5" t="s">
        <v>99</v>
      </c>
      <c r="E234" s="5">
        <v>19820201</v>
      </c>
      <c r="F234" s="5" t="s">
        <v>36</v>
      </c>
      <c r="G234" s="5" t="s">
        <v>1423</v>
      </c>
      <c r="H234" s="5" t="s">
        <v>38</v>
      </c>
      <c r="I234" s="5" t="s">
        <v>1424</v>
      </c>
      <c r="J234" s="5"/>
      <c r="K234" s="5"/>
      <c r="L234" s="5"/>
      <c r="M234" s="5"/>
      <c r="N234" s="5"/>
      <c r="O234" s="5"/>
      <c r="P234" s="5"/>
      <c r="Q234" s="5"/>
      <c r="R234" s="4">
        <v>45854</v>
      </c>
      <c r="S234" s="4">
        <v>46140</v>
      </c>
      <c r="T234" s="5" t="str">
        <f>IF(AND(R234="", S234=""), "대기자", IF(AND(R234&lt;&gt;"", S234=""), "취업 중", IF(AND(R234="", S234&lt;&gt;""), "대기자", IF(R234=S234, "", IF(R234 &lt; S234, "대기자", "취업 중")))))</f>
        <v>대기자</v>
      </c>
      <c r="U234" s="5" t="str">
        <f>IF(J234=""," ",IF(ISNUMBER(SEARCH("소형",J234)),"소형","대형"))</f>
        <v xml:space="preserve"> </v>
      </c>
      <c r="V234" s="4">
        <v>44564</v>
      </c>
      <c r="W234" s="5"/>
      <c r="X234" s="5"/>
      <c r="Y234" s="5"/>
      <c r="Z234" s="13"/>
      <c r="AA234" s="13"/>
      <c r="AB234" s="13"/>
      <c r="AC234" s="13"/>
      <c r="AD234" s="13"/>
      <c r="AE234" s="15"/>
      <c r="AF234" s="15"/>
      <c r="AG234" s="15"/>
      <c r="AH234" s="15"/>
      <c r="AI234" s="6"/>
    </row>
    <row r="235" spans="1:35" ht="19.899999999999999" customHeight="1" x14ac:dyDescent="0.25">
      <c r="A235" s="5">
        <v>232</v>
      </c>
      <c r="B235" s="5" t="s">
        <v>33</v>
      </c>
      <c r="C235" s="5" t="s">
        <v>1425</v>
      </c>
      <c r="D235" s="5" t="s">
        <v>285</v>
      </c>
      <c r="E235" s="5">
        <v>19770102</v>
      </c>
      <c r="F235" s="5" t="s">
        <v>36</v>
      </c>
      <c r="G235" s="5" t="s">
        <v>1426</v>
      </c>
      <c r="H235" s="5" t="s">
        <v>278</v>
      </c>
      <c r="I235" s="5" t="s">
        <v>1427</v>
      </c>
      <c r="J235" s="5" t="s">
        <v>159</v>
      </c>
      <c r="K235" s="5" t="s">
        <v>1407</v>
      </c>
      <c r="L235" s="5" t="s">
        <v>1408</v>
      </c>
      <c r="M235" s="5" t="s">
        <v>1409</v>
      </c>
      <c r="N235" s="5" t="s">
        <v>1410</v>
      </c>
      <c r="O235" s="5" t="s">
        <v>38</v>
      </c>
      <c r="P235" s="5" t="s">
        <v>512</v>
      </c>
      <c r="Q235" s="5" t="s">
        <v>1411</v>
      </c>
      <c r="R235" s="4">
        <v>46252</v>
      </c>
      <c r="S235" s="4">
        <v>46048</v>
      </c>
      <c r="T235" s="5" t="str">
        <f>IF(AND(R235="", S235=""), "대기자", IF(AND(R235&lt;&gt;"", S235=""), "취업 중", IF(AND(R235="", S235&lt;&gt;""), "대기자", IF(R235=S235, "", IF(R235 &lt; S235, "대기자", "취업 중")))))</f>
        <v>취업 중</v>
      </c>
      <c r="U235" s="5" t="str">
        <f>IF(J235=""," ",IF(ISNUMBER(SEARCH("소형",J235)),"소형","대형"))</f>
        <v>대형</v>
      </c>
      <c r="V235" s="4">
        <v>41631</v>
      </c>
      <c r="W235" s="5"/>
      <c r="X235" s="5"/>
      <c r="Y235" s="5"/>
      <c r="Z235" s="13">
        <v>3</v>
      </c>
      <c r="AA235" s="13">
        <v>2</v>
      </c>
      <c r="AB235" s="13">
        <v>1</v>
      </c>
      <c r="AC235" s="13">
        <v>0</v>
      </c>
      <c r="AD235" s="13">
        <v>0</v>
      </c>
      <c r="AE235" s="14"/>
      <c r="AF235" s="14"/>
      <c r="AG235" s="14"/>
      <c r="AH235" s="14"/>
      <c r="AI235" s="6"/>
    </row>
    <row r="236" spans="1:35" ht="19.899999999999999" customHeight="1" x14ac:dyDescent="0.25">
      <c r="A236" s="5">
        <v>233</v>
      </c>
      <c r="B236" s="5" t="s">
        <v>33</v>
      </c>
      <c r="C236" s="5" t="s">
        <v>1428</v>
      </c>
      <c r="D236" s="5" t="s">
        <v>35</v>
      </c>
      <c r="E236" s="5">
        <v>19740311</v>
      </c>
      <c r="F236" s="5" t="s">
        <v>36</v>
      </c>
      <c r="G236" s="5" t="s">
        <v>1429</v>
      </c>
      <c r="H236" s="5" t="s">
        <v>38</v>
      </c>
      <c r="I236" s="5" t="s">
        <v>1430</v>
      </c>
      <c r="J236" s="5" t="s">
        <v>59</v>
      </c>
      <c r="K236" s="5" t="s">
        <v>112</v>
      </c>
      <c r="L236" s="5" t="s">
        <v>690</v>
      </c>
      <c r="M236" s="5" t="s">
        <v>62</v>
      </c>
      <c r="N236" s="5" t="s">
        <v>63</v>
      </c>
      <c r="O236" s="5" t="s">
        <v>38</v>
      </c>
      <c r="P236" s="5" t="s">
        <v>64</v>
      </c>
      <c r="Q236" s="5" t="s">
        <v>65</v>
      </c>
      <c r="R236" s="4">
        <v>46210</v>
      </c>
      <c r="S236" s="4">
        <v>45664</v>
      </c>
      <c r="T236" s="5" t="str">
        <f>IF(AND(R236="", S236=""), "대기자", IF(AND(R236&lt;&gt;"", S236=""), "취업 중", IF(AND(R236="", S236&lt;&gt;""), "대기자", IF(R236=S236, "", IF(R236 &lt; S236, "대기자", "취업 중")))))</f>
        <v>취업 중</v>
      </c>
      <c r="U236" s="5" t="str">
        <f>IF(J236=""," ",IF(ISNUMBER(SEARCH("소형",J236)),"소형","대형"))</f>
        <v>대형</v>
      </c>
      <c r="V236" s="4">
        <v>40668</v>
      </c>
      <c r="W236" s="5"/>
      <c r="X236" s="5"/>
      <c r="Y236" s="5"/>
      <c r="Z236" s="13">
        <v>8</v>
      </c>
      <c r="AA236" s="13">
        <v>3</v>
      </c>
      <c r="AB236" s="13">
        <v>5</v>
      </c>
      <c r="AC236" s="13">
        <v>0</v>
      </c>
      <c r="AD236" s="13">
        <v>0</v>
      </c>
      <c r="AE236" s="15"/>
      <c r="AF236" s="15"/>
      <c r="AG236" s="15"/>
      <c r="AH236" s="15"/>
      <c r="AI236" s="6"/>
    </row>
    <row r="237" spans="1:35" ht="19.899999999999999" customHeight="1" x14ac:dyDescent="0.25">
      <c r="A237" s="5">
        <v>234</v>
      </c>
      <c r="B237" s="5" t="s">
        <v>33</v>
      </c>
      <c r="C237" s="5" t="s">
        <v>1431</v>
      </c>
      <c r="D237" s="5" t="s">
        <v>179</v>
      </c>
      <c r="E237" s="5">
        <v>19710701</v>
      </c>
      <c r="F237" s="5" t="s">
        <v>36</v>
      </c>
      <c r="G237" s="5" t="s">
        <v>1432</v>
      </c>
      <c r="H237" s="5" t="s">
        <v>298</v>
      </c>
      <c r="I237" s="5" t="s">
        <v>1433</v>
      </c>
      <c r="J237" s="5" t="s">
        <v>59</v>
      </c>
      <c r="K237" s="5" t="s">
        <v>112</v>
      </c>
      <c r="L237" s="5" t="s">
        <v>113</v>
      </c>
      <c r="M237" s="5" t="s">
        <v>62</v>
      </c>
      <c r="N237" s="5" t="s">
        <v>1138</v>
      </c>
      <c r="O237" s="5" t="s">
        <v>38</v>
      </c>
      <c r="P237" s="5" t="s">
        <v>64</v>
      </c>
      <c r="Q237" s="5" t="s">
        <v>65</v>
      </c>
      <c r="R237" s="4">
        <v>46104</v>
      </c>
      <c r="S237" s="4">
        <v>45716</v>
      </c>
      <c r="T237" s="5" t="str">
        <f>IF(AND(R237="", S237=""), "대기자", IF(AND(R237&lt;&gt;"", S237=""), "취업 중", IF(AND(R237="", S237&lt;&gt;""), "대기자", IF(R237=S237, "", IF(R237 &lt; S237, "대기자", "취업 중")))))</f>
        <v>취업 중</v>
      </c>
      <c r="U237" s="5" t="str">
        <f>IF(J237=""," ",IF(ISNUMBER(SEARCH("소형",J237)),"소형","대형"))</f>
        <v>대형</v>
      </c>
      <c r="V237" s="4">
        <v>38869</v>
      </c>
      <c r="W237" s="5"/>
      <c r="X237" s="5"/>
      <c r="Y237" s="5"/>
      <c r="Z237" s="13">
        <v>23</v>
      </c>
      <c r="AA237" s="13">
        <v>10</v>
      </c>
      <c r="AB237" s="13">
        <v>10</v>
      </c>
      <c r="AC237" s="13">
        <v>1</v>
      </c>
      <c r="AD237" s="13">
        <v>2</v>
      </c>
      <c r="AE237" s="14"/>
      <c r="AF237" s="14"/>
      <c r="AG237" s="14"/>
      <c r="AH237" s="14" t="s">
        <v>1434</v>
      </c>
      <c r="AI237" s="6"/>
    </row>
    <row r="238" spans="1:35" ht="19.899999999999999" customHeight="1" x14ac:dyDescent="0.25">
      <c r="A238" s="5">
        <v>235</v>
      </c>
      <c r="B238" s="5" t="s">
        <v>33</v>
      </c>
      <c r="C238" s="5" t="s">
        <v>1435</v>
      </c>
      <c r="D238" s="5" t="s">
        <v>56</v>
      </c>
      <c r="E238" s="5">
        <v>19891024</v>
      </c>
      <c r="F238" s="5" t="s">
        <v>36</v>
      </c>
      <c r="G238" s="5" t="s">
        <v>1436</v>
      </c>
      <c r="H238" s="5" t="s">
        <v>38</v>
      </c>
      <c r="I238" s="5" t="s">
        <v>1437</v>
      </c>
      <c r="J238" s="5" t="s">
        <v>826</v>
      </c>
      <c r="K238" s="5" t="s">
        <v>827</v>
      </c>
      <c r="L238" s="5" t="s">
        <v>828</v>
      </c>
      <c r="M238" s="5" t="s">
        <v>829</v>
      </c>
      <c r="N238" s="5" t="s">
        <v>830</v>
      </c>
      <c r="O238" s="5" t="s">
        <v>38</v>
      </c>
      <c r="P238" s="5" t="s">
        <v>215</v>
      </c>
      <c r="Q238" s="5" t="s">
        <v>831</v>
      </c>
      <c r="R238" s="4">
        <v>45691</v>
      </c>
      <c r="S238" s="4">
        <v>45307</v>
      </c>
      <c r="T238" s="5" t="str">
        <f>IF(AND(R238="", S238=""), "대기자", IF(AND(R238&lt;&gt;"", S238=""), "취업 중", IF(AND(R238="", S238&lt;&gt;""), "대기자", IF(R238=S238, "", IF(R238 &lt; S238, "대기자", "취업 중")))))</f>
        <v>취업 중</v>
      </c>
      <c r="U238" s="5" t="str">
        <f>IF(J238=""," ",IF(ISNUMBER(SEARCH("소형",J238)),"소형","대형"))</f>
        <v>대형</v>
      </c>
      <c r="V238" s="4">
        <v>43662</v>
      </c>
      <c r="W238" s="5"/>
      <c r="X238" s="5"/>
      <c r="Y238" s="5"/>
      <c r="Z238" s="13" t="s">
        <v>154</v>
      </c>
      <c r="AA238" s="13" t="s">
        <v>70</v>
      </c>
      <c r="AB238" s="13" t="s">
        <v>70</v>
      </c>
      <c r="AC238" s="13" t="s">
        <v>49</v>
      </c>
      <c r="AD238" s="13" t="s">
        <v>48</v>
      </c>
      <c r="AE238" s="15"/>
      <c r="AF238" s="15"/>
      <c r="AG238" s="15" t="s">
        <v>193</v>
      </c>
      <c r="AH238" s="15" t="s">
        <v>1438</v>
      </c>
      <c r="AI238" s="6"/>
    </row>
    <row r="239" spans="1:35" ht="19.899999999999999" customHeight="1" x14ac:dyDescent="0.25">
      <c r="A239" s="5">
        <v>236</v>
      </c>
      <c r="B239" s="5" t="s">
        <v>33</v>
      </c>
      <c r="C239" s="5" t="s">
        <v>1439</v>
      </c>
      <c r="D239" s="5" t="s">
        <v>99</v>
      </c>
      <c r="E239" s="5">
        <v>19780703</v>
      </c>
      <c r="F239" s="5" t="s">
        <v>36</v>
      </c>
      <c r="G239" s="5" t="s">
        <v>1440</v>
      </c>
      <c r="H239" s="5" t="s">
        <v>38</v>
      </c>
      <c r="I239" s="5" t="s">
        <v>1441</v>
      </c>
      <c r="J239" s="5"/>
      <c r="K239" s="5"/>
      <c r="L239" s="5"/>
      <c r="M239" s="5"/>
      <c r="N239" s="5"/>
      <c r="O239" s="5"/>
      <c r="P239" s="5"/>
      <c r="Q239" s="5"/>
      <c r="R239" s="4">
        <v>44984</v>
      </c>
      <c r="S239" s="4">
        <v>45504</v>
      </c>
      <c r="T239" s="5" t="str">
        <f>IF(AND(R239="", S239=""), "대기자", IF(AND(R239&lt;&gt;"", S239=""), "취업 중", IF(AND(R239="", S239&lt;&gt;""), "대기자", IF(R239=S239, "", IF(R239 &lt; S239, "대기자", "취업 중")))))</f>
        <v>대기자</v>
      </c>
      <c r="U239" s="5" t="str">
        <f>IF(J239=""," ",IF(ISNUMBER(SEARCH("소형",J239)),"소형","대형"))</f>
        <v xml:space="preserve"> </v>
      </c>
      <c r="V239" s="4">
        <v>42495</v>
      </c>
      <c r="W239" s="5"/>
      <c r="X239" s="5"/>
      <c r="Y239" s="5"/>
      <c r="Z239" s="13"/>
      <c r="AA239" s="13"/>
      <c r="AB239" s="13"/>
      <c r="AC239" s="13"/>
      <c r="AD239" s="13"/>
      <c r="AE239" s="14"/>
      <c r="AF239" s="14"/>
      <c r="AG239" s="14"/>
      <c r="AH239" s="14"/>
      <c r="AI239" s="6"/>
    </row>
    <row r="240" spans="1:35" ht="19.899999999999999" customHeight="1" x14ac:dyDescent="0.25">
      <c r="A240" s="5">
        <v>237</v>
      </c>
      <c r="B240" s="5" t="s">
        <v>33</v>
      </c>
      <c r="C240" s="5" t="s">
        <v>1442</v>
      </c>
      <c r="D240" s="5" t="s">
        <v>72</v>
      </c>
      <c r="E240" s="5">
        <v>19750720</v>
      </c>
      <c r="F240" s="5" t="s">
        <v>36</v>
      </c>
      <c r="G240" s="5" t="s">
        <v>1443</v>
      </c>
      <c r="H240" s="5" t="s">
        <v>38</v>
      </c>
      <c r="I240" s="5" t="s">
        <v>1444</v>
      </c>
      <c r="J240" s="5" t="s">
        <v>460</v>
      </c>
      <c r="K240" s="5" t="s">
        <v>321</v>
      </c>
      <c r="L240" s="5" t="s">
        <v>322</v>
      </c>
      <c r="M240" s="5" t="s">
        <v>323</v>
      </c>
      <c r="N240" s="5" t="s">
        <v>324</v>
      </c>
      <c r="O240" s="5" t="s">
        <v>38</v>
      </c>
      <c r="P240" s="5" t="s">
        <v>64</v>
      </c>
      <c r="Q240" s="5" t="s">
        <v>325</v>
      </c>
      <c r="R240" s="4">
        <v>45804</v>
      </c>
      <c r="S240" s="4">
        <v>45365</v>
      </c>
      <c r="T240" s="5" t="str">
        <f>IF(AND(R240="", S240=""), "대기자", IF(AND(R240&lt;&gt;"", S240=""), "취업 중", IF(AND(R240="", S240&lt;&gt;""), "대기자", IF(R240=S240, "", IF(R240 &lt; S240, "대기자", "취업 중")))))</f>
        <v>취업 중</v>
      </c>
      <c r="U240" s="5" t="str">
        <f>IF(J240=""," ",IF(ISNUMBER(SEARCH("소형",J240)),"소형","대형"))</f>
        <v>대형</v>
      </c>
      <c r="V240" s="4">
        <v>39783</v>
      </c>
      <c r="W240" s="5"/>
      <c r="X240" s="5"/>
      <c r="Y240" s="5"/>
      <c r="Z240" s="13" t="s">
        <v>94</v>
      </c>
      <c r="AA240" s="13" t="s">
        <v>49</v>
      </c>
      <c r="AB240" s="13" t="s">
        <v>49</v>
      </c>
      <c r="AC240" s="13" t="s">
        <v>50</v>
      </c>
      <c r="AD240" s="13" t="s">
        <v>48</v>
      </c>
      <c r="AE240" s="15"/>
      <c r="AF240" s="15"/>
      <c r="AG240" s="15" t="s">
        <v>83</v>
      </c>
      <c r="AH240" s="15" t="s">
        <v>1445</v>
      </c>
      <c r="AI240" s="6"/>
    </row>
    <row r="241" spans="1:35" ht="19.899999999999999" customHeight="1" x14ac:dyDescent="0.25">
      <c r="A241" s="5">
        <v>238</v>
      </c>
      <c r="B241" s="5" t="s">
        <v>33</v>
      </c>
      <c r="C241" s="5" t="s">
        <v>1446</v>
      </c>
      <c r="D241" s="5" t="s">
        <v>144</v>
      </c>
      <c r="E241" s="5">
        <v>19931207</v>
      </c>
      <c r="F241" s="5" t="s">
        <v>36</v>
      </c>
      <c r="G241" s="5" t="s">
        <v>1447</v>
      </c>
      <c r="H241" s="5" t="s">
        <v>38</v>
      </c>
      <c r="I241" s="5" t="s">
        <v>1448</v>
      </c>
      <c r="J241" s="5"/>
      <c r="K241" s="5"/>
      <c r="L241" s="5"/>
      <c r="M241" s="5"/>
      <c r="N241" s="5"/>
      <c r="O241" s="5"/>
      <c r="P241" s="5"/>
      <c r="Q241" s="5"/>
      <c r="R241" s="4">
        <v>45499</v>
      </c>
      <c r="S241" s="4">
        <v>45849</v>
      </c>
      <c r="T241" s="5" t="str">
        <f>IF(AND(R241="", S241=""), "대기자", IF(AND(R241&lt;&gt;"", S241=""), "취업 중", IF(AND(R241="", S241&lt;&gt;""), "대기자", IF(R241=S241, "", IF(R241 &lt; S241, "대기자", "취업 중")))))</f>
        <v>대기자</v>
      </c>
      <c r="U241" s="5" t="str">
        <f>IF(J241=""," ",IF(ISNUMBER(SEARCH("소형",J241)),"소형","대형"))</f>
        <v xml:space="preserve"> </v>
      </c>
      <c r="V241" s="4">
        <v>44896</v>
      </c>
      <c r="W241" s="5"/>
      <c r="X241" s="5"/>
      <c r="Y241" s="5"/>
      <c r="Z241" s="13"/>
      <c r="AA241" s="13"/>
      <c r="AB241" s="13"/>
      <c r="AC241" s="13"/>
      <c r="AD241" s="13"/>
      <c r="AE241" s="14"/>
      <c r="AF241" s="14"/>
      <c r="AG241" s="14"/>
      <c r="AH241" s="14"/>
      <c r="AI241" s="6"/>
    </row>
    <row r="242" spans="1:35" ht="19.899999999999999" customHeight="1" x14ac:dyDescent="0.25">
      <c r="A242" s="5">
        <v>239</v>
      </c>
      <c r="B242" s="5" t="s">
        <v>33</v>
      </c>
      <c r="C242" s="5" t="s">
        <v>1449</v>
      </c>
      <c r="D242" s="5" t="s">
        <v>99</v>
      </c>
      <c r="E242" s="5">
        <v>19810521</v>
      </c>
      <c r="F242" s="5" t="s">
        <v>36</v>
      </c>
      <c r="G242" s="5" t="s">
        <v>1450</v>
      </c>
      <c r="H242" s="5" t="s">
        <v>38</v>
      </c>
      <c r="I242" s="5" t="s">
        <v>1451</v>
      </c>
      <c r="J242" s="5"/>
      <c r="K242" s="5"/>
      <c r="L242" s="5"/>
      <c r="M242" s="5"/>
      <c r="N242" s="5"/>
      <c r="O242" s="5"/>
      <c r="P242" s="5"/>
      <c r="Q242" s="5"/>
      <c r="R242" s="4">
        <v>45971</v>
      </c>
      <c r="S242" s="4">
        <v>46171</v>
      </c>
      <c r="T242" s="5" t="str">
        <f>IF(AND(R242="", S242=""), "대기자", IF(AND(R242&lt;&gt;"", S242=""), "취업 중", IF(AND(R242="", S242&lt;&gt;""), "대기자", IF(R242=S242, "", IF(R242 &lt; S242, "대기자", "취업 중")))))</f>
        <v>대기자</v>
      </c>
      <c r="U242" s="5" t="str">
        <f>IF(J242=""," ",IF(ISNUMBER(SEARCH("소형",J242)),"소형","대형"))</f>
        <v xml:space="preserve"> </v>
      </c>
      <c r="V242" s="4">
        <v>45627</v>
      </c>
      <c r="W242" s="5"/>
      <c r="X242" s="5"/>
      <c r="Y242" s="5"/>
      <c r="Z242" s="13"/>
      <c r="AA242" s="13"/>
      <c r="AB242" s="13"/>
      <c r="AC242" s="13"/>
      <c r="AD242" s="13"/>
      <c r="AE242" s="15"/>
      <c r="AF242" s="15"/>
      <c r="AG242" s="15"/>
      <c r="AH242" s="15"/>
      <c r="AI242" s="6"/>
    </row>
    <row r="243" spans="1:35" ht="19.899999999999999" customHeight="1" x14ac:dyDescent="0.25">
      <c r="A243" s="5">
        <v>240</v>
      </c>
      <c r="B243" s="5" t="s">
        <v>33</v>
      </c>
      <c r="C243" s="5" t="s">
        <v>1452</v>
      </c>
      <c r="D243" s="5" t="s">
        <v>35</v>
      </c>
      <c r="E243" s="5">
        <v>19660625</v>
      </c>
      <c r="F243" s="5" t="s">
        <v>36</v>
      </c>
      <c r="G243" s="5" t="s">
        <v>1453</v>
      </c>
      <c r="H243" s="5" t="s">
        <v>38</v>
      </c>
      <c r="I243" s="5" t="s">
        <v>1454</v>
      </c>
      <c r="J243" s="5" t="s">
        <v>1455</v>
      </c>
      <c r="K243" s="5" t="s">
        <v>1456</v>
      </c>
      <c r="L243" s="5" t="s">
        <v>1457</v>
      </c>
      <c r="M243" s="5" t="s">
        <v>1458</v>
      </c>
      <c r="N243" s="5" t="s">
        <v>1459</v>
      </c>
      <c r="O243" s="5" t="s">
        <v>38</v>
      </c>
      <c r="P243" s="5" t="s">
        <v>80</v>
      </c>
      <c r="Q243" s="5" t="s">
        <v>1460</v>
      </c>
      <c r="R243" s="4">
        <v>46195</v>
      </c>
      <c r="S243" s="4">
        <v>45980</v>
      </c>
      <c r="T243" s="5" t="str">
        <f>IF(AND(R243="", S243=""), "대기자", IF(AND(R243&lt;&gt;"", S243=""), "취업 중", IF(AND(R243="", S243&lt;&gt;""), "대기자", IF(R243=S243, "", IF(R243 &lt; S243, "대기자", "취업 중")))))</f>
        <v>취업 중</v>
      </c>
      <c r="U243" s="5" t="str">
        <f>IF(J243=""," ",IF(ISNUMBER(SEARCH("소형",J243)),"소형","대형"))</f>
        <v>대형</v>
      </c>
      <c r="V243" s="4">
        <v>39083</v>
      </c>
      <c r="W243" s="5"/>
      <c r="X243" s="5"/>
      <c r="Y243" s="5"/>
      <c r="Z243" s="13" t="s">
        <v>70</v>
      </c>
      <c r="AA243" s="13" t="s">
        <v>48</v>
      </c>
      <c r="AB243" s="13" t="s">
        <v>48</v>
      </c>
      <c r="AC243" s="13" t="s">
        <v>50</v>
      </c>
      <c r="AD243" s="13" t="s">
        <v>48</v>
      </c>
      <c r="AE243" s="14"/>
      <c r="AF243" s="14"/>
      <c r="AG243" s="14"/>
      <c r="AH243" s="14"/>
      <c r="AI243" s="6"/>
    </row>
    <row r="244" spans="1:35" ht="19.899999999999999" customHeight="1" x14ac:dyDescent="0.25">
      <c r="A244" s="5">
        <v>241</v>
      </c>
      <c r="B244" s="5" t="s">
        <v>33</v>
      </c>
      <c r="C244" s="5" t="s">
        <v>1461</v>
      </c>
      <c r="D244" s="5" t="s">
        <v>179</v>
      </c>
      <c r="E244" s="5">
        <v>19861228</v>
      </c>
      <c r="F244" s="5" t="s">
        <v>36</v>
      </c>
      <c r="G244" s="5" t="s">
        <v>1462</v>
      </c>
      <c r="H244" s="5" t="s">
        <v>38</v>
      </c>
      <c r="I244" s="5" t="s">
        <v>1463</v>
      </c>
      <c r="J244" s="5" t="s">
        <v>59</v>
      </c>
      <c r="K244" s="5" t="s">
        <v>112</v>
      </c>
      <c r="L244" s="5" t="s">
        <v>113</v>
      </c>
      <c r="M244" s="5" t="s">
        <v>62</v>
      </c>
      <c r="N244" s="5" t="s">
        <v>1138</v>
      </c>
      <c r="O244" s="5" t="s">
        <v>38</v>
      </c>
      <c r="P244" s="5" t="s">
        <v>64</v>
      </c>
      <c r="Q244" s="5" t="s">
        <v>65</v>
      </c>
      <c r="R244" s="4">
        <v>46188</v>
      </c>
      <c r="S244" s="4">
        <v>45953</v>
      </c>
      <c r="T244" s="5" t="str">
        <f>IF(AND(R244="", S244=""), "대기자", IF(AND(R244&lt;&gt;"", S244=""), "취업 중", IF(AND(R244="", S244&lt;&gt;""), "대기자", IF(R244=S244, "", IF(R244 &lt; S244, "대기자", "취업 중")))))</f>
        <v>취업 중</v>
      </c>
      <c r="U244" s="5" t="str">
        <f>IF(J244=""," ",IF(ISNUMBER(SEARCH("소형",J244)),"소형","대형"))</f>
        <v>대형</v>
      </c>
      <c r="V244" s="4">
        <v>41641</v>
      </c>
      <c r="W244" s="5"/>
      <c r="X244" s="5"/>
      <c r="Y244" s="5"/>
      <c r="Z244" s="13">
        <v>23</v>
      </c>
      <c r="AA244" s="13">
        <v>10</v>
      </c>
      <c r="AB244" s="13">
        <v>10</v>
      </c>
      <c r="AC244" s="13">
        <v>1</v>
      </c>
      <c r="AD244" s="13">
        <v>2</v>
      </c>
      <c r="AE244" s="15"/>
      <c r="AF244" s="15"/>
      <c r="AG244" s="15"/>
      <c r="AH244" s="15"/>
      <c r="AI244" s="6"/>
    </row>
    <row r="245" spans="1:35" ht="19.899999999999999" customHeight="1" x14ac:dyDescent="0.25">
      <c r="A245" s="5">
        <v>242</v>
      </c>
      <c r="B245" s="5" t="s">
        <v>33</v>
      </c>
      <c r="C245" s="5" t="s">
        <v>1464</v>
      </c>
      <c r="D245" s="5" t="s">
        <v>35</v>
      </c>
      <c r="E245" s="5">
        <v>19650524</v>
      </c>
      <c r="F245" s="5" t="s">
        <v>36</v>
      </c>
      <c r="G245" s="5" t="s">
        <v>1465</v>
      </c>
      <c r="H245" s="5" t="s">
        <v>38</v>
      </c>
      <c r="I245" s="5" t="s">
        <v>1466</v>
      </c>
      <c r="J245" s="5" t="s">
        <v>235</v>
      </c>
      <c r="K245" s="5" t="s">
        <v>76</v>
      </c>
      <c r="L245" s="5" t="s">
        <v>1467</v>
      </c>
      <c r="M245" s="5" t="s">
        <v>1468</v>
      </c>
      <c r="N245" s="5" t="s">
        <v>1469</v>
      </c>
      <c r="O245" s="5" t="s">
        <v>38</v>
      </c>
      <c r="P245" s="5" t="s">
        <v>512</v>
      </c>
      <c r="Q245" s="5" t="s">
        <v>1470</v>
      </c>
      <c r="R245" s="4">
        <v>45888</v>
      </c>
      <c r="S245" s="4">
        <v>45407</v>
      </c>
      <c r="T245" s="5" t="str">
        <f>IF(AND(R245="", S245=""), "대기자", IF(AND(R245&lt;&gt;"", S245=""), "취업 중", IF(AND(R245="", S245&lt;&gt;""), "대기자", IF(R245=S245, "", IF(R245 &lt; S245, "대기자", "취업 중")))))</f>
        <v>취업 중</v>
      </c>
      <c r="U245" s="5" t="str">
        <f>IF(J245=""," ",IF(ISNUMBER(SEARCH("소형",J245)),"소형","대형"))</f>
        <v>대형</v>
      </c>
      <c r="V245" s="4">
        <v>40603</v>
      </c>
      <c r="W245" s="5"/>
      <c r="X245" s="5"/>
      <c r="Y245" s="5"/>
      <c r="Z245" s="13" t="s">
        <v>94</v>
      </c>
      <c r="AA245" s="13" t="s">
        <v>48</v>
      </c>
      <c r="AB245" s="13" t="s">
        <v>49</v>
      </c>
      <c r="AC245" s="13" t="s">
        <v>50</v>
      </c>
      <c r="AD245" s="13" t="s">
        <v>49</v>
      </c>
      <c r="AE245" s="14"/>
      <c r="AF245" s="14"/>
      <c r="AG245" s="14" t="s">
        <v>155</v>
      </c>
      <c r="AH245" s="14" t="s">
        <v>1471</v>
      </c>
      <c r="AI245" s="6"/>
    </row>
    <row r="246" spans="1:35" ht="19.899999999999999" customHeight="1" x14ac:dyDescent="0.25">
      <c r="A246" s="5">
        <v>243</v>
      </c>
      <c r="B246" s="5" t="s">
        <v>33</v>
      </c>
      <c r="C246" s="5" t="s">
        <v>1472</v>
      </c>
      <c r="D246" s="5" t="s">
        <v>67</v>
      </c>
      <c r="E246" s="5">
        <v>19791215</v>
      </c>
      <c r="F246" s="5" t="s">
        <v>36</v>
      </c>
      <c r="G246" s="5" t="s">
        <v>1473</v>
      </c>
      <c r="H246" s="5" t="s">
        <v>38</v>
      </c>
      <c r="I246" s="5" t="s">
        <v>1474</v>
      </c>
      <c r="J246" s="5"/>
      <c r="K246" s="5"/>
      <c r="L246" s="5"/>
      <c r="M246" s="5"/>
      <c r="N246" s="5"/>
      <c r="O246" s="5"/>
      <c r="P246" s="5"/>
      <c r="Q246" s="5"/>
      <c r="R246" s="4">
        <v>45544</v>
      </c>
      <c r="S246" s="4">
        <v>46106</v>
      </c>
      <c r="T246" s="5" t="str">
        <f>IF(AND(R246="", S246=""), "대기자", IF(AND(R246&lt;&gt;"", S246=""), "취업 중", IF(AND(R246="", S246&lt;&gt;""), "대기자", IF(R246=S246, "", IF(R246 &lt; S246, "대기자", "취업 중")))))</f>
        <v>대기자</v>
      </c>
      <c r="U246" s="5" t="str">
        <f>IF(J246=""," ",IF(ISNUMBER(SEARCH("소형",J246)),"소형","대형"))</f>
        <v xml:space="preserve"> </v>
      </c>
      <c r="V246" s="4">
        <v>44292</v>
      </c>
      <c r="W246" s="5"/>
      <c r="X246" s="5"/>
      <c r="Y246" s="5"/>
      <c r="Z246" s="13"/>
      <c r="AA246" s="13"/>
      <c r="AB246" s="13"/>
      <c r="AC246" s="13"/>
      <c r="AD246" s="13"/>
      <c r="AE246" s="15"/>
      <c r="AF246" s="15"/>
      <c r="AG246" s="15"/>
      <c r="AH246" s="15"/>
      <c r="AI246" s="6"/>
    </row>
    <row r="247" spans="1:35" ht="19.899999999999999" customHeight="1" x14ac:dyDescent="0.25">
      <c r="A247" s="5">
        <v>244</v>
      </c>
      <c r="B247" s="5" t="s">
        <v>33</v>
      </c>
      <c r="C247" s="5" t="s">
        <v>1475</v>
      </c>
      <c r="D247" s="5" t="s">
        <v>285</v>
      </c>
      <c r="E247" s="5">
        <v>19740906</v>
      </c>
      <c r="F247" s="5" t="s">
        <v>36</v>
      </c>
      <c r="G247" s="5" t="s">
        <v>1476</v>
      </c>
      <c r="H247" s="5" t="s">
        <v>38</v>
      </c>
      <c r="I247" s="5" t="s">
        <v>1477</v>
      </c>
      <c r="J247" s="5"/>
      <c r="K247" s="5"/>
      <c r="L247" s="5"/>
      <c r="M247" s="5"/>
      <c r="N247" s="5"/>
      <c r="O247" s="5"/>
      <c r="P247" s="5"/>
      <c r="Q247" s="5"/>
      <c r="R247" s="4">
        <v>45765</v>
      </c>
      <c r="S247" s="4">
        <v>46263</v>
      </c>
      <c r="T247" s="5" t="str">
        <f>IF(AND(R247="", S247=""), "대기자", IF(AND(R247&lt;&gt;"", S247=""), "취업 중", IF(AND(R247="", S247&lt;&gt;""), "대기자", IF(R247=S247, "", IF(R247 &lt; S247, "대기자", "취업 중")))))</f>
        <v>대기자</v>
      </c>
      <c r="U247" s="5" t="str">
        <f>IF(J247=""," ",IF(ISNUMBER(SEARCH("소형",J247)),"소형","대형"))</f>
        <v xml:space="preserve"> </v>
      </c>
      <c r="V247" s="4">
        <v>40546</v>
      </c>
      <c r="W247" s="5"/>
      <c r="X247" s="5"/>
      <c r="Y247" s="5"/>
      <c r="Z247" s="13"/>
      <c r="AA247" s="13"/>
      <c r="AB247" s="13"/>
      <c r="AC247" s="13"/>
      <c r="AD247" s="13"/>
      <c r="AE247" s="14"/>
      <c r="AF247" s="14"/>
      <c r="AG247" s="14" t="s">
        <v>83</v>
      </c>
      <c r="AH247" s="14" t="s">
        <v>1478</v>
      </c>
      <c r="AI247" s="6"/>
    </row>
    <row r="248" spans="1:35" ht="19.899999999999999" customHeight="1" x14ac:dyDescent="0.25">
      <c r="A248" s="5">
        <v>245</v>
      </c>
      <c r="B248" s="5" t="s">
        <v>33</v>
      </c>
      <c r="C248" s="5" t="s">
        <v>1479</v>
      </c>
      <c r="D248" s="5" t="s">
        <v>72</v>
      </c>
      <c r="E248" s="5">
        <v>19691013</v>
      </c>
      <c r="F248" s="5" t="s">
        <v>36</v>
      </c>
      <c r="G248" s="5" t="s">
        <v>1480</v>
      </c>
      <c r="H248" s="5" t="s">
        <v>38</v>
      </c>
      <c r="I248" s="5" t="s">
        <v>1481</v>
      </c>
      <c r="J248" s="5" t="s">
        <v>598</v>
      </c>
      <c r="K248" s="5" t="s">
        <v>599</v>
      </c>
      <c r="L248" s="5" t="s">
        <v>600</v>
      </c>
      <c r="M248" s="5" t="s">
        <v>601</v>
      </c>
      <c r="N248" s="5" t="s">
        <v>602</v>
      </c>
      <c r="O248" s="5" t="s">
        <v>38</v>
      </c>
      <c r="P248" s="5" t="s">
        <v>64</v>
      </c>
      <c r="Q248" s="5" t="s">
        <v>603</v>
      </c>
      <c r="R248" s="4">
        <v>45712</v>
      </c>
      <c r="S248" s="4">
        <v>45664</v>
      </c>
      <c r="T248" s="5" t="str">
        <f>IF(AND(R248="", S248=""), "대기자", IF(AND(R248&lt;&gt;"", S248=""), "취업 중", IF(AND(R248="", S248&lt;&gt;""), "대기자", IF(R248=S248, "", IF(R248 &lt; S248, "대기자", "취업 중")))))</f>
        <v>취업 중</v>
      </c>
      <c r="U248" s="5" t="str">
        <f>IF(J248=""," ",IF(ISNUMBER(SEARCH("소형",J248)),"소형","대형"))</f>
        <v>대형</v>
      </c>
      <c r="V248" s="4">
        <v>39569</v>
      </c>
      <c r="W248" s="5"/>
      <c r="X248" s="5"/>
      <c r="Y248" s="5"/>
      <c r="Z248" s="13" t="s">
        <v>94</v>
      </c>
      <c r="AA248" s="13" t="s">
        <v>49</v>
      </c>
      <c r="AB248" s="13" t="s">
        <v>70</v>
      </c>
      <c r="AC248" s="13" t="s">
        <v>50</v>
      </c>
      <c r="AD248" s="13" t="s">
        <v>50</v>
      </c>
      <c r="AE248" s="15"/>
      <c r="AF248" s="15"/>
      <c r="AG248" s="15"/>
      <c r="AH248" s="15" t="s">
        <v>1482</v>
      </c>
      <c r="AI248" s="6"/>
    </row>
    <row r="249" spans="1:35" ht="19.899999999999999" customHeight="1" x14ac:dyDescent="0.25">
      <c r="A249" s="5">
        <v>246</v>
      </c>
      <c r="B249" s="5" t="s">
        <v>33</v>
      </c>
      <c r="C249" s="5" t="s">
        <v>1483</v>
      </c>
      <c r="D249" s="5" t="s">
        <v>72</v>
      </c>
      <c r="E249" s="5">
        <v>19760831</v>
      </c>
      <c r="F249" s="5" t="s">
        <v>36</v>
      </c>
      <c r="G249" s="5" t="s">
        <v>1484</v>
      </c>
      <c r="H249" s="5" t="s">
        <v>278</v>
      </c>
      <c r="I249" s="5" t="s">
        <v>1485</v>
      </c>
      <c r="J249" s="5" t="s">
        <v>59</v>
      </c>
      <c r="K249" s="5" t="s">
        <v>509</v>
      </c>
      <c r="L249" s="5" t="s">
        <v>510</v>
      </c>
      <c r="M249" s="5" t="s">
        <v>62</v>
      </c>
      <c r="N249" s="5" t="s">
        <v>63</v>
      </c>
      <c r="O249" s="5" t="s">
        <v>38</v>
      </c>
      <c r="P249" s="5" t="s">
        <v>512</v>
      </c>
      <c r="Q249" s="5" t="s">
        <v>513</v>
      </c>
      <c r="R249" s="4">
        <v>46066</v>
      </c>
      <c r="S249" s="4">
        <v>46050</v>
      </c>
      <c r="T249" s="5" t="str">
        <f>IF(AND(R249="", S249=""), "대기자", IF(AND(R249&lt;&gt;"", S249=""), "취업 중", IF(AND(R249="", S249&lt;&gt;""), "대기자", IF(R249=S249, "", IF(R249 &lt; S249, "대기자", "취업 중")))))</f>
        <v>취업 중</v>
      </c>
      <c r="U249" s="5" t="str">
        <f>IF(J249=""," ",IF(ISNUMBER(SEARCH("소형",J249)),"소형","대형"))</f>
        <v>대형</v>
      </c>
      <c r="V249" s="4">
        <v>40238</v>
      </c>
      <c r="W249" s="5"/>
      <c r="X249" s="5"/>
      <c r="Y249" s="5"/>
      <c r="Z249" s="13">
        <v>15</v>
      </c>
      <c r="AA249" s="13">
        <v>6</v>
      </c>
      <c r="AB249" s="13">
        <v>7</v>
      </c>
      <c r="AC249" s="13">
        <v>0</v>
      </c>
      <c r="AD249" s="13">
        <v>2</v>
      </c>
      <c r="AE249" s="14"/>
      <c r="AF249" s="14"/>
      <c r="AG249" s="14" t="s">
        <v>83</v>
      </c>
      <c r="AH249" s="14" t="s">
        <v>1486</v>
      </c>
      <c r="AI249" s="6"/>
    </row>
    <row r="250" spans="1:35" ht="19.899999999999999" customHeight="1" x14ac:dyDescent="0.25">
      <c r="A250" s="5">
        <v>247</v>
      </c>
      <c r="B250" s="5" t="s">
        <v>33</v>
      </c>
      <c r="C250" s="5" t="s">
        <v>1487</v>
      </c>
      <c r="D250" s="5" t="s">
        <v>67</v>
      </c>
      <c r="E250" s="5">
        <v>19810924</v>
      </c>
      <c r="F250" s="5" t="s">
        <v>36</v>
      </c>
      <c r="G250" s="5" t="s">
        <v>1488</v>
      </c>
      <c r="H250" s="5" t="s">
        <v>38</v>
      </c>
      <c r="I250" s="5" t="s">
        <v>1489</v>
      </c>
      <c r="J250" s="5" t="s">
        <v>460</v>
      </c>
      <c r="K250" s="5" t="s">
        <v>41</v>
      </c>
      <c r="L250" s="5" t="s">
        <v>1490</v>
      </c>
      <c r="M250" s="5" t="s">
        <v>1491</v>
      </c>
      <c r="N250" s="5" t="s">
        <v>1492</v>
      </c>
      <c r="O250" s="5" t="s">
        <v>38</v>
      </c>
      <c r="P250" s="5" t="s">
        <v>164</v>
      </c>
      <c r="Q250" s="5" t="s">
        <v>1493</v>
      </c>
      <c r="R250" s="4">
        <v>45880</v>
      </c>
      <c r="S250" s="4">
        <v>45435</v>
      </c>
      <c r="T250" s="5" t="str">
        <f>IF(AND(R250="", S250=""), "대기자", IF(AND(R250&lt;&gt;"", S250=""), "취업 중", IF(AND(R250="", S250&lt;&gt;""), "대기자", IF(R250=S250, "", IF(R250 &lt; S250, "대기자", "취업 중")))))</f>
        <v>취업 중</v>
      </c>
      <c r="U250" s="5" t="str">
        <f>IF(J250=""," ",IF(ISNUMBER(SEARCH("소형",J250)),"소형","대형"))</f>
        <v>대형</v>
      </c>
      <c r="V250" s="4">
        <v>42684</v>
      </c>
      <c r="W250" s="5"/>
      <c r="X250" s="5"/>
      <c r="Y250" s="5"/>
      <c r="Z250" s="13" t="s">
        <v>47</v>
      </c>
      <c r="AA250" s="13" t="s">
        <v>48</v>
      </c>
      <c r="AB250" s="13" t="s">
        <v>49</v>
      </c>
      <c r="AC250" s="13" t="s">
        <v>48</v>
      </c>
      <c r="AD250" s="13" t="s">
        <v>50</v>
      </c>
      <c r="AE250" s="15"/>
      <c r="AF250" s="15"/>
      <c r="AG250" s="15" t="s">
        <v>83</v>
      </c>
      <c r="AH250" s="15" t="s">
        <v>1494</v>
      </c>
      <c r="AI250" s="6"/>
    </row>
    <row r="251" spans="1:35" ht="19.899999999999999" customHeight="1" x14ac:dyDescent="0.25">
      <c r="A251" s="5">
        <v>248</v>
      </c>
      <c r="B251" s="5" t="s">
        <v>33</v>
      </c>
      <c r="C251" s="5" t="s">
        <v>1495</v>
      </c>
      <c r="D251" s="5" t="s">
        <v>99</v>
      </c>
      <c r="E251" s="5">
        <v>19700415</v>
      </c>
      <c r="F251" s="5" t="s">
        <v>52</v>
      </c>
      <c r="G251" s="5" t="s">
        <v>1496</v>
      </c>
      <c r="H251" s="5" t="s">
        <v>38</v>
      </c>
      <c r="I251" s="5" t="s">
        <v>1497</v>
      </c>
      <c r="J251" s="5"/>
      <c r="K251" s="5"/>
      <c r="L251" s="5"/>
      <c r="M251" s="5"/>
      <c r="N251" s="5"/>
      <c r="O251" s="5"/>
      <c r="P251" s="5"/>
      <c r="Q251" s="5"/>
      <c r="R251" s="4">
        <v>45502</v>
      </c>
      <c r="S251" s="4">
        <v>45992</v>
      </c>
      <c r="T251" s="5" t="str">
        <f>IF(AND(R251="", S251=""), "대기자", IF(AND(R251&lt;&gt;"", S251=""), "취업 중", IF(AND(R251="", S251&lt;&gt;""), "대기자", IF(R251=S251, "", IF(R251 &lt; S251, "대기자", "취업 중")))))</f>
        <v>대기자</v>
      </c>
      <c r="U251" s="5" t="str">
        <f>IF(J251=""," ",IF(ISNUMBER(SEARCH("소형",J251)),"소형","대형"))</f>
        <v xml:space="preserve"> </v>
      </c>
      <c r="V251" s="4">
        <v>42452</v>
      </c>
      <c r="W251" s="5"/>
      <c r="X251" s="5"/>
      <c r="Y251" s="5"/>
      <c r="Z251" s="13"/>
      <c r="AA251" s="13"/>
      <c r="AB251" s="13"/>
      <c r="AC251" s="13"/>
      <c r="AD251" s="13"/>
      <c r="AE251" s="14"/>
      <c r="AF251" s="14"/>
      <c r="AG251" s="14"/>
      <c r="AH251" s="14"/>
      <c r="AI251" s="6"/>
    </row>
    <row r="252" spans="1:35" ht="19.899999999999999" customHeight="1" x14ac:dyDescent="0.25">
      <c r="A252" s="5">
        <v>249</v>
      </c>
      <c r="B252" s="5" t="s">
        <v>33</v>
      </c>
      <c r="C252" s="5" t="s">
        <v>1498</v>
      </c>
      <c r="D252" s="5" t="s">
        <v>179</v>
      </c>
      <c r="E252" s="5">
        <v>19650416</v>
      </c>
      <c r="F252" s="5" t="s">
        <v>36</v>
      </c>
      <c r="G252" s="5" t="s">
        <v>1499</v>
      </c>
      <c r="H252" s="5" t="s">
        <v>38</v>
      </c>
      <c r="I252" s="5" t="s">
        <v>1500</v>
      </c>
      <c r="J252" s="5" t="s">
        <v>263</v>
      </c>
      <c r="K252" s="5" t="s">
        <v>1322</v>
      </c>
      <c r="L252" s="5" t="s">
        <v>1323</v>
      </c>
      <c r="M252" s="5" t="s">
        <v>1324</v>
      </c>
      <c r="N252" s="5" t="s">
        <v>1501</v>
      </c>
      <c r="O252" s="5" t="s">
        <v>38</v>
      </c>
      <c r="P252" s="5" t="s">
        <v>215</v>
      </c>
      <c r="Q252" s="5" t="s">
        <v>1326</v>
      </c>
      <c r="R252" s="4">
        <v>45763</v>
      </c>
      <c r="S252" s="4">
        <v>45472</v>
      </c>
      <c r="T252" s="5" t="str">
        <f>IF(AND(R252="", S252=""), "대기자", IF(AND(R252&lt;&gt;"", S252=""), "취업 중", IF(AND(R252="", S252&lt;&gt;""), "대기자", IF(R252=S252, "", IF(R252 &lt; S252, "대기자", "취업 중")))))</f>
        <v>취업 중</v>
      </c>
      <c r="U252" s="5" t="str">
        <f>IF(J252=""," ",IF(ISNUMBER(SEARCH("소형",J252)),"소형","대형"))</f>
        <v>대형</v>
      </c>
      <c r="V252" s="4">
        <v>39814</v>
      </c>
      <c r="W252" s="5"/>
      <c r="X252" s="5"/>
      <c r="Y252" s="5"/>
      <c r="Z252" s="13" t="s">
        <v>94</v>
      </c>
      <c r="AA252" s="13" t="s">
        <v>49</v>
      </c>
      <c r="AB252" s="13" t="s">
        <v>49</v>
      </c>
      <c r="AC252" s="13" t="s">
        <v>48</v>
      </c>
      <c r="AD252" s="13" t="s">
        <v>50</v>
      </c>
      <c r="AE252" s="15" t="s">
        <v>182</v>
      </c>
      <c r="AF252" s="15" t="s">
        <v>183</v>
      </c>
      <c r="AG252" s="15" t="s">
        <v>193</v>
      </c>
      <c r="AH252" s="15" t="s">
        <v>1502</v>
      </c>
      <c r="AI252" s="6"/>
    </row>
    <row r="253" spans="1:35" ht="19.899999999999999" customHeight="1" x14ac:dyDescent="0.25">
      <c r="A253" s="5">
        <v>250</v>
      </c>
      <c r="B253" s="5" t="s">
        <v>33</v>
      </c>
      <c r="C253" s="5" t="s">
        <v>1503</v>
      </c>
      <c r="D253" s="5" t="s">
        <v>179</v>
      </c>
      <c r="E253" s="5">
        <v>19770618</v>
      </c>
      <c r="F253" s="5" t="s">
        <v>36</v>
      </c>
      <c r="G253" s="5" t="s">
        <v>1504</v>
      </c>
      <c r="H253" s="5" t="s">
        <v>298</v>
      </c>
      <c r="I253" s="5" t="s">
        <v>1505</v>
      </c>
      <c r="J253" s="5" t="s">
        <v>59</v>
      </c>
      <c r="K253" s="5" t="s">
        <v>112</v>
      </c>
      <c r="L253" s="5" t="s">
        <v>1350</v>
      </c>
      <c r="M253" s="5" t="s">
        <v>1351</v>
      </c>
      <c r="N253" s="5" t="s">
        <v>1506</v>
      </c>
      <c r="O253" s="5" t="s">
        <v>38</v>
      </c>
      <c r="P253" s="5" t="s">
        <v>215</v>
      </c>
      <c r="Q253" s="5" t="s">
        <v>1353</v>
      </c>
      <c r="R253" s="4">
        <v>45720</v>
      </c>
      <c r="S253" s="4">
        <v>45330</v>
      </c>
      <c r="T253" s="5" t="str">
        <f>IF(AND(R253="", S253=""), "대기자", IF(AND(R253&lt;&gt;"", S253=""), "취업 중", IF(AND(R253="", S253&lt;&gt;""), "대기자", IF(R253=S253, "", IF(R253 &lt; S253, "대기자", "취업 중")))))</f>
        <v>취업 중</v>
      </c>
      <c r="U253" s="5" t="str">
        <f>IF(J253=""," ",IF(ISNUMBER(SEARCH("소형",J253)),"소형","대형"))</f>
        <v>대형</v>
      </c>
      <c r="V253" s="4">
        <v>43647</v>
      </c>
      <c r="W253" s="5"/>
      <c r="X253" s="5"/>
      <c r="Y253" s="5"/>
      <c r="Z253" s="13" t="s">
        <v>47</v>
      </c>
      <c r="AA253" s="13" t="s">
        <v>48</v>
      </c>
      <c r="AB253" s="13" t="s">
        <v>49</v>
      </c>
      <c r="AC253" s="13" t="s">
        <v>50</v>
      </c>
      <c r="AD253" s="13" t="s">
        <v>48</v>
      </c>
      <c r="AE253" s="14" t="s">
        <v>258</v>
      </c>
      <c r="AF253" s="14" t="s">
        <v>183</v>
      </c>
      <c r="AG253" s="14" t="s">
        <v>83</v>
      </c>
      <c r="AH253" s="14" t="s">
        <v>1507</v>
      </c>
      <c r="AI253" s="6"/>
    </row>
    <row r="254" spans="1:35" ht="19.899999999999999" customHeight="1" x14ac:dyDescent="0.25">
      <c r="A254" s="5">
        <v>251</v>
      </c>
      <c r="B254" s="5" t="s">
        <v>33</v>
      </c>
      <c r="C254" s="5" t="s">
        <v>1508</v>
      </c>
      <c r="D254" s="5" t="s">
        <v>285</v>
      </c>
      <c r="E254" s="5">
        <v>19910416</v>
      </c>
      <c r="F254" s="5" t="s">
        <v>36</v>
      </c>
      <c r="G254" s="5" t="s">
        <v>1509</v>
      </c>
      <c r="H254" s="5" t="s">
        <v>278</v>
      </c>
      <c r="I254" s="5" t="s">
        <v>1510</v>
      </c>
      <c r="J254" s="5" t="s">
        <v>826</v>
      </c>
      <c r="K254" s="5" t="s">
        <v>827</v>
      </c>
      <c r="L254" s="5" t="s">
        <v>828</v>
      </c>
      <c r="M254" s="5" t="s">
        <v>829</v>
      </c>
      <c r="N254" s="5" t="s">
        <v>830</v>
      </c>
      <c r="O254" s="5" t="s">
        <v>38</v>
      </c>
      <c r="P254" s="5" t="s">
        <v>215</v>
      </c>
      <c r="Q254" s="5" t="s">
        <v>831</v>
      </c>
      <c r="R254" s="4">
        <v>45740</v>
      </c>
      <c r="S254" s="4">
        <v>45325</v>
      </c>
      <c r="T254" s="5" t="str">
        <f>IF(AND(R254="", S254=""), "대기자", IF(AND(R254&lt;&gt;"", S254=""), "취업 중", IF(AND(R254="", S254&lt;&gt;""), "대기자", IF(R254=S254, "", IF(R254 &lt; S254, "대기자", "취업 중")))))</f>
        <v>취업 중</v>
      </c>
      <c r="U254" s="5" t="str">
        <f>IF(J254=""," ",IF(ISNUMBER(SEARCH("소형",J254)),"소형","대형"))</f>
        <v>대형</v>
      </c>
      <c r="V254" s="4">
        <v>43647</v>
      </c>
      <c r="W254" s="5"/>
      <c r="X254" s="5"/>
      <c r="Y254" s="5"/>
      <c r="Z254" s="13" t="s">
        <v>154</v>
      </c>
      <c r="AA254" s="13" t="s">
        <v>70</v>
      </c>
      <c r="AB254" s="13" t="s">
        <v>70</v>
      </c>
      <c r="AC254" s="13" t="s">
        <v>49</v>
      </c>
      <c r="AD254" s="13" t="s">
        <v>48</v>
      </c>
      <c r="AE254" s="15"/>
      <c r="AF254" s="15"/>
      <c r="AG254" s="15" t="s">
        <v>83</v>
      </c>
      <c r="AH254" s="15" t="s">
        <v>1511</v>
      </c>
      <c r="AI254" s="6"/>
    </row>
    <row r="255" spans="1:35" ht="19.899999999999999" customHeight="1" x14ac:dyDescent="0.25">
      <c r="A255" s="5">
        <v>252</v>
      </c>
      <c r="B255" s="5" t="s">
        <v>33</v>
      </c>
      <c r="C255" s="5" t="s">
        <v>1512</v>
      </c>
      <c r="D255" s="5" t="s">
        <v>285</v>
      </c>
      <c r="E255" s="5">
        <v>19890921</v>
      </c>
      <c r="F255" s="5" t="s">
        <v>36</v>
      </c>
      <c r="G255" s="5" t="s">
        <v>1513</v>
      </c>
      <c r="H255" s="5" t="s">
        <v>298</v>
      </c>
      <c r="I255" s="5" t="s">
        <v>1514</v>
      </c>
      <c r="J255" s="5"/>
      <c r="K255" s="5"/>
      <c r="L255" s="5"/>
      <c r="M255" s="5"/>
      <c r="N255" s="5"/>
      <c r="O255" s="5"/>
      <c r="P255" s="5"/>
      <c r="Q255" s="5"/>
      <c r="R255" s="4">
        <v>45378</v>
      </c>
      <c r="S255" s="4">
        <v>46022</v>
      </c>
      <c r="T255" s="5" t="str">
        <f>IF(AND(R255="", S255=""), "대기자", IF(AND(R255&lt;&gt;"", S255=""), "취업 중", IF(AND(R255="", S255&lt;&gt;""), "대기자", IF(R255=S255, "", IF(R255 &lt; S255, "대기자", "취업 중")))))</f>
        <v>대기자</v>
      </c>
      <c r="U255" s="5" t="str">
        <f>IF(J255=""," ",IF(ISNUMBER(SEARCH("소형",J255)),"소형","대형"))</f>
        <v xml:space="preserve"> </v>
      </c>
      <c r="V255" s="4">
        <v>45627</v>
      </c>
      <c r="W255" s="5"/>
      <c r="X255" s="5"/>
      <c r="Y255" s="5"/>
      <c r="Z255" s="13"/>
      <c r="AA255" s="13"/>
      <c r="AB255" s="13"/>
      <c r="AC255" s="13"/>
      <c r="AD255" s="13"/>
      <c r="AE255" s="14"/>
      <c r="AF255" s="14"/>
      <c r="AG255" s="14"/>
      <c r="AH255" s="14"/>
      <c r="AI255" s="6"/>
    </row>
    <row r="256" spans="1:35" ht="19.899999999999999" customHeight="1" x14ac:dyDescent="0.25">
      <c r="A256" s="5">
        <v>253</v>
      </c>
      <c r="B256" s="5" t="s">
        <v>33</v>
      </c>
      <c r="C256" s="5" t="s">
        <v>1515</v>
      </c>
      <c r="D256" s="5" t="s">
        <v>526</v>
      </c>
      <c r="E256" s="5">
        <v>19860105</v>
      </c>
      <c r="F256" s="5" t="s">
        <v>36</v>
      </c>
      <c r="G256" s="5" t="s">
        <v>1516</v>
      </c>
      <c r="H256" s="5" t="s">
        <v>38</v>
      </c>
      <c r="I256" s="5" t="s">
        <v>1517</v>
      </c>
      <c r="J256" s="5" t="s">
        <v>102</v>
      </c>
      <c r="K256" s="5" t="s">
        <v>102</v>
      </c>
      <c r="L256" s="5" t="s">
        <v>484</v>
      </c>
      <c r="M256" s="5" t="s">
        <v>1518</v>
      </c>
      <c r="N256" s="5" t="s">
        <v>1519</v>
      </c>
      <c r="O256" s="5" t="s">
        <v>38</v>
      </c>
      <c r="P256" s="5" t="s">
        <v>152</v>
      </c>
      <c r="Q256" s="5" t="s">
        <v>487</v>
      </c>
      <c r="R256" s="4">
        <v>45974</v>
      </c>
      <c r="S256" s="4">
        <v>45808</v>
      </c>
      <c r="T256" s="5" t="str">
        <f>IF(AND(R256="", S256=""), "대기자", IF(AND(R256&lt;&gt;"", S256=""), "취업 중", IF(AND(R256="", S256&lt;&gt;""), "대기자", IF(R256=S256, "", IF(R256 &lt; S256, "대기자", "취업 중")))))</f>
        <v>취업 중</v>
      </c>
      <c r="U256" s="5" t="str">
        <f>IF(J256=""," ",IF(ISNUMBER(SEARCH("소형",J256)),"소형","대형"))</f>
        <v>소형</v>
      </c>
      <c r="V256" s="4">
        <v>45627</v>
      </c>
      <c r="W256" s="5"/>
      <c r="X256" s="5" t="s">
        <v>1520</v>
      </c>
      <c r="Y256" s="5" t="s">
        <v>483</v>
      </c>
      <c r="Z256" s="13"/>
      <c r="AA256" s="13"/>
      <c r="AB256" s="13"/>
      <c r="AC256" s="13"/>
      <c r="AD256" s="13"/>
      <c r="AE256" s="15"/>
      <c r="AF256" s="15"/>
      <c r="AG256" s="15"/>
      <c r="AH256" s="15"/>
      <c r="AI256" s="6"/>
    </row>
    <row r="257" spans="1:35" ht="19.899999999999999" customHeight="1" x14ac:dyDescent="0.25">
      <c r="A257" s="5">
        <v>254</v>
      </c>
      <c r="B257" s="5" t="s">
        <v>33</v>
      </c>
      <c r="C257" s="5" t="s">
        <v>1521</v>
      </c>
      <c r="D257" s="5" t="s">
        <v>56</v>
      </c>
      <c r="E257" s="5">
        <v>19650730</v>
      </c>
      <c r="F257" s="5" t="s">
        <v>36</v>
      </c>
      <c r="G257" s="5" t="s">
        <v>1522</v>
      </c>
      <c r="H257" s="5" t="s">
        <v>38</v>
      </c>
      <c r="I257" s="5" t="s">
        <v>1523</v>
      </c>
      <c r="J257" s="5" t="s">
        <v>147</v>
      </c>
      <c r="K257" s="5" t="s">
        <v>148</v>
      </c>
      <c r="L257" s="5" t="s">
        <v>149</v>
      </c>
      <c r="M257" s="5" t="s">
        <v>150</v>
      </c>
      <c r="N257" s="5" t="s">
        <v>151</v>
      </c>
      <c r="O257" s="5" t="s">
        <v>38</v>
      </c>
      <c r="P257" s="5" t="s">
        <v>152</v>
      </c>
      <c r="Q257" s="5" t="s">
        <v>153</v>
      </c>
      <c r="R257" s="4">
        <v>45810</v>
      </c>
      <c r="S257" s="4">
        <v>45391</v>
      </c>
      <c r="T257" s="5" t="str">
        <f>IF(AND(R257="", S257=""), "대기자", IF(AND(R257&lt;&gt;"", S257=""), "취업 중", IF(AND(R257="", S257&lt;&gt;""), "대기자", IF(R257=S257, "", IF(R257 &lt; S257, "대기자", "취업 중")))))</f>
        <v>취업 중</v>
      </c>
      <c r="U257" s="5" t="str">
        <f>IF(J257=""," ",IF(ISNUMBER(SEARCH("소형",J257)),"소형","대형"))</f>
        <v>대형</v>
      </c>
      <c r="V257" s="4">
        <v>39036</v>
      </c>
      <c r="W257" s="5"/>
      <c r="X257" s="5"/>
      <c r="Y257" s="5"/>
      <c r="Z257" s="13" t="s">
        <v>154</v>
      </c>
      <c r="AA257" s="13" t="s">
        <v>70</v>
      </c>
      <c r="AB257" s="13" t="s">
        <v>47</v>
      </c>
      <c r="AC257" s="13" t="s">
        <v>48</v>
      </c>
      <c r="AD257" s="13" t="s">
        <v>48</v>
      </c>
      <c r="AE257" s="14"/>
      <c r="AF257" s="14"/>
      <c r="AG257" s="14" t="s">
        <v>117</v>
      </c>
      <c r="AH257" s="14" t="s">
        <v>1524</v>
      </c>
      <c r="AI257" s="6"/>
    </row>
    <row r="258" spans="1:35" ht="19.899999999999999" customHeight="1" x14ac:dyDescent="0.25">
      <c r="A258" s="5">
        <v>255</v>
      </c>
      <c r="B258" s="5" t="s">
        <v>33</v>
      </c>
      <c r="C258" s="5" t="s">
        <v>1525</v>
      </c>
      <c r="D258" s="5" t="s">
        <v>99</v>
      </c>
      <c r="E258" s="5">
        <v>19791111</v>
      </c>
      <c r="F258" s="5" t="s">
        <v>36</v>
      </c>
      <c r="G258" s="5" t="s">
        <v>1526</v>
      </c>
      <c r="H258" s="5" t="s">
        <v>38</v>
      </c>
      <c r="I258" s="5" t="s">
        <v>1527</v>
      </c>
      <c r="J258" s="5" t="s">
        <v>75</v>
      </c>
      <c r="K258" s="5" t="s">
        <v>88</v>
      </c>
      <c r="L258" s="5" t="s">
        <v>1528</v>
      </c>
      <c r="M258" s="5" t="s">
        <v>1529</v>
      </c>
      <c r="N258" s="5" t="s">
        <v>1530</v>
      </c>
      <c r="O258" s="5" t="s">
        <v>38</v>
      </c>
      <c r="P258" s="5" t="s">
        <v>164</v>
      </c>
      <c r="Q258" s="5" t="s">
        <v>1531</v>
      </c>
      <c r="R258" s="4">
        <v>45558</v>
      </c>
      <c r="S258" s="4">
        <v>45421</v>
      </c>
      <c r="T258" s="5" t="str">
        <f>IF(AND(R258="", S258=""), "대기자", IF(AND(R258&lt;&gt;"", S258=""), "취업 중", IF(AND(R258="", S258&lt;&gt;""), "대기자", IF(R258=S258, "", IF(R258 &lt; S258, "대기자", "취업 중")))))</f>
        <v>취업 중</v>
      </c>
      <c r="U258" s="5" t="str">
        <f>IF(J258=""," ",IF(ISNUMBER(SEARCH("소형",J258)),"소형","대형"))</f>
        <v>대형</v>
      </c>
      <c r="V258" s="4">
        <v>38718</v>
      </c>
      <c r="W258" s="5"/>
      <c r="X258" s="5"/>
      <c r="Y258" s="5"/>
      <c r="Z258" s="13" t="s">
        <v>49</v>
      </c>
      <c r="AA258" s="13" t="s">
        <v>48</v>
      </c>
      <c r="AB258" s="13" t="s">
        <v>48</v>
      </c>
      <c r="AC258" s="13" t="s">
        <v>50</v>
      </c>
      <c r="AD258" s="13" t="s">
        <v>50</v>
      </c>
      <c r="AE258" s="15"/>
      <c r="AF258" s="15"/>
      <c r="AG258" s="15" t="s">
        <v>155</v>
      </c>
      <c r="AH258" s="15" t="s">
        <v>1532</v>
      </c>
      <c r="AI258" s="6"/>
    </row>
    <row r="259" spans="1:35" ht="19.899999999999999" customHeight="1" x14ac:dyDescent="0.25">
      <c r="A259" s="5">
        <v>256</v>
      </c>
      <c r="B259" s="5" t="s">
        <v>33</v>
      </c>
      <c r="C259" s="5" t="s">
        <v>1533</v>
      </c>
      <c r="D259" s="5" t="s">
        <v>67</v>
      </c>
      <c r="E259" s="5">
        <v>19690907</v>
      </c>
      <c r="F259" s="5" t="s">
        <v>36</v>
      </c>
      <c r="G259" s="5" t="s">
        <v>1534</v>
      </c>
      <c r="H259" s="5" t="s">
        <v>38</v>
      </c>
      <c r="I259" s="5" t="s">
        <v>1535</v>
      </c>
      <c r="J259" s="5"/>
      <c r="K259" s="5"/>
      <c r="L259" s="5"/>
      <c r="M259" s="5"/>
      <c r="N259" s="5"/>
      <c r="O259" s="5"/>
      <c r="P259" s="5"/>
      <c r="Q259" s="5"/>
      <c r="R259" s="4">
        <v>45953</v>
      </c>
      <c r="S259" s="4">
        <v>46172</v>
      </c>
      <c r="T259" s="5" t="str">
        <f>IF(AND(R259="", S259=""), "대기자", IF(AND(R259&lt;&gt;"", S259=""), "취업 중", IF(AND(R259="", S259&lt;&gt;""), "대기자", IF(R259=S259, "", IF(R259 &lt; S259, "대기자", "취업 중")))))</f>
        <v>대기자</v>
      </c>
      <c r="U259" s="5" t="str">
        <f>IF(J259=""," ",IF(ISNUMBER(SEARCH("소형",J259)),"소형","대형"))</f>
        <v xml:space="preserve"> </v>
      </c>
      <c r="V259" s="4">
        <v>42583</v>
      </c>
      <c r="W259" s="5"/>
      <c r="X259" s="5"/>
      <c r="Y259" s="5"/>
      <c r="Z259" s="13"/>
      <c r="AA259" s="13"/>
      <c r="AB259" s="13"/>
      <c r="AC259" s="13"/>
      <c r="AD259" s="13"/>
      <c r="AE259" s="14"/>
      <c r="AF259" s="14"/>
      <c r="AG259" s="14" t="s">
        <v>184</v>
      </c>
      <c r="AH259" s="14" t="s">
        <v>1536</v>
      </c>
      <c r="AI259" s="6"/>
    </row>
    <row r="260" spans="1:35" ht="19.899999999999999" customHeight="1" x14ac:dyDescent="0.25">
      <c r="A260" s="5">
        <v>257</v>
      </c>
      <c r="B260" s="5" t="s">
        <v>33</v>
      </c>
      <c r="C260" s="5" t="s">
        <v>1537</v>
      </c>
      <c r="D260" s="5" t="s">
        <v>99</v>
      </c>
      <c r="E260" s="5">
        <v>19711227</v>
      </c>
      <c r="F260" s="5" t="s">
        <v>36</v>
      </c>
      <c r="G260" s="5" t="s">
        <v>1538</v>
      </c>
      <c r="H260" s="5" t="s">
        <v>38</v>
      </c>
      <c r="I260" s="5" t="s">
        <v>1539</v>
      </c>
      <c r="J260" s="5" t="s">
        <v>59</v>
      </c>
      <c r="K260" s="5" t="s">
        <v>509</v>
      </c>
      <c r="L260" s="5" t="s">
        <v>1540</v>
      </c>
      <c r="M260" s="5" t="s">
        <v>62</v>
      </c>
      <c r="N260" s="5" t="s">
        <v>63</v>
      </c>
      <c r="O260" s="5" t="s">
        <v>38</v>
      </c>
      <c r="P260" s="5" t="s">
        <v>512</v>
      </c>
      <c r="Q260" s="5" t="s">
        <v>513</v>
      </c>
      <c r="R260" s="4">
        <v>46242</v>
      </c>
      <c r="S260" s="4">
        <v>46108</v>
      </c>
      <c r="T260" s="5" t="str">
        <f>IF(AND(R260="", S260=""), "대기자", IF(AND(R260&lt;&gt;"", S260=""), "취업 중", IF(AND(R260="", S260&lt;&gt;""), "대기자", IF(R260=S260, "", IF(R260 &lt; S260, "대기자", "취업 중")))))</f>
        <v>취업 중</v>
      </c>
      <c r="U260" s="5" t="str">
        <f>IF(J260=""," ",IF(ISNUMBER(SEARCH("소형",J260)),"소형","대형"))</f>
        <v>대형</v>
      </c>
      <c r="V260" s="4">
        <v>42452</v>
      </c>
      <c r="W260" s="5"/>
      <c r="X260" s="5"/>
      <c r="Y260" s="5"/>
      <c r="Z260" s="13">
        <v>4</v>
      </c>
      <c r="AA260" s="13">
        <v>2</v>
      </c>
      <c r="AB260" s="13">
        <v>2</v>
      </c>
      <c r="AC260" s="13">
        <v>0</v>
      </c>
      <c r="AD260" s="13">
        <v>0</v>
      </c>
      <c r="AE260" s="15"/>
      <c r="AF260" s="15"/>
      <c r="AG260" s="15" t="s">
        <v>83</v>
      </c>
      <c r="AH260" s="15"/>
      <c r="AI260" s="6"/>
    </row>
    <row r="261" spans="1:35" ht="19.899999999999999" customHeight="1" x14ac:dyDescent="0.25">
      <c r="A261" s="5">
        <v>258</v>
      </c>
      <c r="B261" s="5" t="s">
        <v>33</v>
      </c>
      <c r="C261" s="5" t="s">
        <v>1541</v>
      </c>
      <c r="D261" s="5" t="s">
        <v>35</v>
      </c>
      <c r="E261" s="5">
        <v>19820408</v>
      </c>
      <c r="F261" s="5" t="s">
        <v>36</v>
      </c>
      <c r="G261" s="5" t="s">
        <v>1542</v>
      </c>
      <c r="H261" s="5" t="s">
        <v>38</v>
      </c>
      <c r="I261" s="5" t="s">
        <v>1543</v>
      </c>
      <c r="J261" s="5"/>
      <c r="K261" s="5"/>
      <c r="L261" s="5"/>
      <c r="M261" s="5"/>
      <c r="N261" s="5"/>
      <c r="O261" s="5"/>
      <c r="P261" s="5"/>
      <c r="Q261" s="5"/>
      <c r="R261" s="4">
        <v>45000</v>
      </c>
      <c r="S261" s="4">
        <v>45950</v>
      </c>
      <c r="T261" s="5" t="str">
        <f>IF(AND(R261="", S261=""), "대기자", IF(AND(R261&lt;&gt;"", S261=""), "취업 중", IF(AND(R261="", S261&lt;&gt;""), "대기자", IF(R261=S261, "", IF(R261 &lt; S261, "대기자", "취업 중")))))</f>
        <v>대기자</v>
      </c>
      <c r="U261" s="5" t="str">
        <f>IF(J261=""," ",IF(ISNUMBER(SEARCH("소형",J261)),"소형","대형"))</f>
        <v xml:space="preserve"> </v>
      </c>
      <c r="V261" s="4">
        <v>43801</v>
      </c>
      <c r="W261" s="5"/>
      <c r="X261" s="5"/>
      <c r="Y261" s="5"/>
      <c r="Z261" s="13"/>
      <c r="AA261" s="13"/>
      <c r="AB261" s="13"/>
      <c r="AC261" s="13"/>
      <c r="AD261" s="13"/>
      <c r="AE261" s="14"/>
      <c r="AF261" s="14"/>
      <c r="AG261" s="14"/>
      <c r="AH261" s="14"/>
      <c r="AI261" s="6"/>
    </row>
    <row r="262" spans="1:35" ht="19.899999999999999" customHeight="1" x14ac:dyDescent="0.25">
      <c r="A262" s="5">
        <v>259</v>
      </c>
      <c r="B262" s="5" t="s">
        <v>33</v>
      </c>
      <c r="C262" s="5" t="s">
        <v>1544</v>
      </c>
      <c r="D262" s="5" t="s">
        <v>67</v>
      </c>
      <c r="E262" s="5">
        <v>19641208</v>
      </c>
      <c r="F262" s="5" t="s">
        <v>36</v>
      </c>
      <c r="G262" s="5" t="s">
        <v>1545</v>
      </c>
      <c r="H262" s="5" t="s">
        <v>38</v>
      </c>
      <c r="I262" s="5" t="s">
        <v>1546</v>
      </c>
      <c r="J262" s="5" t="s">
        <v>1547</v>
      </c>
      <c r="K262" s="5" t="s">
        <v>353</v>
      </c>
      <c r="L262" s="5" t="s">
        <v>1548</v>
      </c>
      <c r="M262" s="5" t="s">
        <v>1549</v>
      </c>
      <c r="N262" s="5" t="s">
        <v>1550</v>
      </c>
      <c r="O262" s="5" t="s">
        <v>38</v>
      </c>
      <c r="P262" s="5" t="s">
        <v>215</v>
      </c>
      <c r="Q262" s="5" t="s">
        <v>1551</v>
      </c>
      <c r="R262" s="4">
        <v>46000</v>
      </c>
      <c r="S262" s="4">
        <v>45594</v>
      </c>
      <c r="T262" s="5" t="str">
        <f>IF(AND(R262="", S262=""), "대기자", IF(AND(R262&lt;&gt;"", S262=""), "취업 중", IF(AND(R262="", S262&lt;&gt;""), "대기자", IF(R262=S262, "", IF(R262 &lt; S262, "대기자", "취업 중")))))</f>
        <v>취업 중</v>
      </c>
      <c r="U262" s="5" t="str">
        <f>IF(J262=""," ",IF(ISNUMBER(SEARCH("소형",J262)),"소형","대형"))</f>
        <v>대형</v>
      </c>
      <c r="V262" s="4">
        <v>42583</v>
      </c>
      <c r="W262" s="5"/>
      <c r="X262" s="5"/>
      <c r="Y262" s="5"/>
      <c r="Z262" s="13" t="s">
        <v>82</v>
      </c>
      <c r="AA262" s="13" t="s">
        <v>70</v>
      </c>
      <c r="AB262" s="13" t="s">
        <v>70</v>
      </c>
      <c r="AC262" s="13" t="s">
        <v>50</v>
      </c>
      <c r="AD262" s="13" t="s">
        <v>50</v>
      </c>
      <c r="AE262" s="15"/>
      <c r="AF262" s="15"/>
      <c r="AG262" s="15" t="s">
        <v>155</v>
      </c>
      <c r="AH262" s="15" t="s">
        <v>1552</v>
      </c>
      <c r="AI262" s="6"/>
    </row>
    <row r="263" spans="1:35" ht="19.899999999999999" customHeight="1" x14ac:dyDescent="0.25">
      <c r="A263" s="5">
        <v>260</v>
      </c>
      <c r="B263" s="5" t="s">
        <v>33</v>
      </c>
      <c r="C263" s="5" t="s">
        <v>1553</v>
      </c>
      <c r="D263" s="5" t="s">
        <v>179</v>
      </c>
      <c r="E263" s="5">
        <v>19731120</v>
      </c>
      <c r="F263" s="5" t="s">
        <v>36</v>
      </c>
      <c r="G263" s="5" t="s">
        <v>1554</v>
      </c>
      <c r="H263" s="5" t="s">
        <v>38</v>
      </c>
      <c r="I263" s="5" t="s">
        <v>1555</v>
      </c>
      <c r="J263" s="5" t="s">
        <v>198</v>
      </c>
      <c r="K263" s="5" t="s">
        <v>148</v>
      </c>
      <c r="L263" s="5" t="s">
        <v>666</v>
      </c>
      <c r="M263" s="5" t="s">
        <v>667</v>
      </c>
      <c r="N263" s="5" t="s">
        <v>668</v>
      </c>
      <c r="O263" s="5" t="s">
        <v>38</v>
      </c>
      <c r="P263" s="5" t="s">
        <v>402</v>
      </c>
      <c r="Q263" s="5" t="s">
        <v>669</v>
      </c>
      <c r="R263" s="4">
        <v>45723</v>
      </c>
      <c r="S263" s="4">
        <v>45348</v>
      </c>
      <c r="T263" s="5" t="str">
        <f>IF(AND(R263="", S263=""), "대기자", IF(AND(R263&lt;&gt;"", S263=""), "취업 중", IF(AND(R263="", S263&lt;&gt;""), "대기자", IF(R263=S263, "", IF(R263 &lt; S263, "대기자", "취업 중")))))</f>
        <v>취업 중</v>
      </c>
      <c r="U263" s="5" t="str">
        <f>IF(J263=""," ",IF(ISNUMBER(SEARCH("소형",J263)),"소형","대형"))</f>
        <v>대형</v>
      </c>
      <c r="V263" s="4">
        <v>42552</v>
      </c>
      <c r="W263" s="5"/>
      <c r="X263" s="5"/>
      <c r="Y263" s="5"/>
      <c r="Z263" s="13" t="s">
        <v>118</v>
      </c>
      <c r="AA263" s="13" t="s">
        <v>70</v>
      </c>
      <c r="AB263" s="13" t="s">
        <v>70</v>
      </c>
      <c r="AC263" s="13" t="s">
        <v>50</v>
      </c>
      <c r="AD263" s="13" t="s">
        <v>48</v>
      </c>
      <c r="AE263" s="14" t="s">
        <v>182</v>
      </c>
      <c r="AF263" s="14" t="s">
        <v>183</v>
      </c>
      <c r="AG263" s="14" t="s">
        <v>274</v>
      </c>
      <c r="AH263" s="14" t="s">
        <v>1556</v>
      </c>
      <c r="AI263" s="6"/>
    </row>
    <row r="264" spans="1:35" ht="19.899999999999999" customHeight="1" x14ac:dyDescent="0.25">
      <c r="A264" s="5">
        <v>261</v>
      </c>
      <c r="B264" s="5" t="s">
        <v>33</v>
      </c>
      <c r="C264" s="5" t="s">
        <v>1557</v>
      </c>
      <c r="D264" s="5" t="s">
        <v>56</v>
      </c>
      <c r="E264" s="5">
        <v>19721004</v>
      </c>
      <c r="F264" s="5" t="s">
        <v>36</v>
      </c>
      <c r="G264" s="5" t="s">
        <v>1558</v>
      </c>
      <c r="H264" s="5" t="s">
        <v>38</v>
      </c>
      <c r="I264" s="5" t="s">
        <v>1559</v>
      </c>
      <c r="J264" s="5"/>
      <c r="K264" s="5"/>
      <c r="L264" s="5"/>
      <c r="M264" s="5"/>
      <c r="N264" s="5"/>
      <c r="O264" s="5"/>
      <c r="P264" s="5"/>
      <c r="Q264" s="5"/>
      <c r="R264" s="4">
        <v>45273</v>
      </c>
      <c r="S264" s="4">
        <v>45831</v>
      </c>
      <c r="T264" s="5" t="str">
        <f>IF(AND(R264="", S264=""), "대기자", IF(AND(R264&lt;&gt;"", S264=""), "취업 중", IF(AND(R264="", S264&lt;&gt;""), "대기자", IF(R264=S264, "", IF(R264 &lt; S264, "대기자", "취업 중")))))</f>
        <v>대기자</v>
      </c>
      <c r="U264" s="5" t="str">
        <f>IF(J264=""," ",IF(ISNUMBER(SEARCH("소형",J264)),"소형","대형"))</f>
        <v xml:space="preserve"> </v>
      </c>
      <c r="V264" s="4">
        <v>39600</v>
      </c>
      <c r="W264" s="5"/>
      <c r="X264" s="5"/>
      <c r="Y264" s="5"/>
      <c r="Z264" s="13"/>
      <c r="AA264" s="13"/>
      <c r="AB264" s="13"/>
      <c r="AC264" s="13"/>
      <c r="AD264" s="13"/>
      <c r="AE264" s="15"/>
      <c r="AF264" s="15"/>
      <c r="AG264" s="15"/>
      <c r="AH264" s="15"/>
      <c r="AI264" s="6"/>
    </row>
    <row r="265" spans="1:35" ht="19.899999999999999" customHeight="1" x14ac:dyDescent="0.25">
      <c r="A265" s="5">
        <v>262</v>
      </c>
      <c r="B265" s="5" t="s">
        <v>33</v>
      </c>
      <c r="C265" s="5" t="s">
        <v>1560</v>
      </c>
      <c r="D265" s="5" t="s">
        <v>72</v>
      </c>
      <c r="E265" s="5">
        <v>19670728</v>
      </c>
      <c r="F265" s="5" t="s">
        <v>36</v>
      </c>
      <c r="G265" s="5" t="s">
        <v>1561</v>
      </c>
      <c r="H265" s="5" t="s">
        <v>38</v>
      </c>
      <c r="I265" s="5" t="s">
        <v>1562</v>
      </c>
      <c r="J265" s="5"/>
      <c r="K265" s="5"/>
      <c r="L265" s="5"/>
      <c r="M265" s="5"/>
      <c r="N265" s="5"/>
      <c r="O265" s="5"/>
      <c r="P265" s="5"/>
      <c r="Q265" s="5"/>
      <c r="R265" s="4">
        <v>45804</v>
      </c>
      <c r="S265" s="4">
        <v>46277</v>
      </c>
      <c r="T265" s="5" t="str">
        <f>IF(AND(R265="", S265=""), "대기자", IF(AND(R265&lt;&gt;"", S265=""), "취업 중", IF(AND(R265="", S265&lt;&gt;""), "대기자", IF(R265=S265, "", IF(R265 &lt; S265, "대기자", "취업 중")))))</f>
        <v>대기자</v>
      </c>
      <c r="U265" s="5" t="str">
        <f>IF(J265=""," ",IF(ISNUMBER(SEARCH("소형",J265)),"소형","대형"))</f>
        <v xml:space="preserve"> </v>
      </c>
      <c r="V265" s="4">
        <v>38930</v>
      </c>
      <c r="W265" s="5"/>
      <c r="X265" s="5"/>
      <c r="Y265" s="5"/>
      <c r="Z265" s="13"/>
      <c r="AA265" s="13"/>
      <c r="AB265" s="13"/>
      <c r="AC265" s="13"/>
      <c r="AD265" s="13"/>
      <c r="AE265" s="14"/>
      <c r="AF265" s="14"/>
      <c r="AG265" s="14" t="s">
        <v>193</v>
      </c>
      <c r="AH265" s="14" t="s">
        <v>1563</v>
      </c>
      <c r="AI265" s="6"/>
    </row>
    <row r="266" spans="1:35" ht="19.899999999999999" customHeight="1" x14ac:dyDescent="0.25">
      <c r="A266" s="5">
        <v>263</v>
      </c>
      <c r="B266" s="5" t="s">
        <v>33</v>
      </c>
      <c r="C266" s="5" t="s">
        <v>1564</v>
      </c>
      <c r="D266" s="5" t="s">
        <v>35</v>
      </c>
      <c r="E266" s="5">
        <v>19731016</v>
      </c>
      <c r="F266" s="5" t="s">
        <v>36</v>
      </c>
      <c r="G266" s="5" t="s">
        <v>1565</v>
      </c>
      <c r="H266" s="5" t="s">
        <v>38</v>
      </c>
      <c r="I266" s="5" t="s">
        <v>1566</v>
      </c>
      <c r="J266" s="5" t="s">
        <v>1567</v>
      </c>
      <c r="K266" s="5" t="s">
        <v>321</v>
      </c>
      <c r="L266" s="5" t="s">
        <v>1568</v>
      </c>
      <c r="M266" s="5" t="s">
        <v>1569</v>
      </c>
      <c r="N266" s="5" t="s">
        <v>1570</v>
      </c>
      <c r="O266" s="5" t="s">
        <v>38</v>
      </c>
      <c r="P266" s="5" t="s">
        <v>1055</v>
      </c>
      <c r="Q266" s="5" t="s">
        <v>1571</v>
      </c>
      <c r="R266" s="4">
        <v>46126</v>
      </c>
      <c r="S266" s="4">
        <v>46074</v>
      </c>
      <c r="T266" s="5" t="str">
        <f>IF(AND(R266="", S266=""), "대기자", IF(AND(R266&lt;&gt;"", S266=""), "취업 중", IF(AND(R266="", S266&lt;&gt;""), "대기자", IF(R266=S266, "", IF(R266 &lt; S266, "대기자", "취업 중")))))</f>
        <v>취업 중</v>
      </c>
      <c r="U266" s="5" t="str">
        <f>IF(J266=""," ",IF(ISNUMBER(SEARCH("소형",J266)),"소형","대형"))</f>
        <v>대형</v>
      </c>
      <c r="V266" s="4">
        <v>39692</v>
      </c>
      <c r="W266" s="5"/>
      <c r="X266" s="5"/>
      <c r="Y266" s="5"/>
      <c r="Z266" s="13" t="s">
        <v>49</v>
      </c>
      <c r="AA266" s="13" t="s">
        <v>48</v>
      </c>
      <c r="AB266" s="13" t="s">
        <v>48</v>
      </c>
      <c r="AC266" s="13" t="s">
        <v>50</v>
      </c>
      <c r="AD266" s="13" t="s">
        <v>50</v>
      </c>
      <c r="AE266" s="15"/>
      <c r="AF266" s="15"/>
      <c r="AG266" s="15"/>
      <c r="AH266" s="15" t="s">
        <v>1572</v>
      </c>
      <c r="AI266" s="6"/>
    </row>
    <row r="267" spans="1:35" ht="19.899999999999999" customHeight="1" x14ac:dyDescent="0.25">
      <c r="A267" s="5">
        <v>264</v>
      </c>
      <c r="B267" s="5" t="s">
        <v>33</v>
      </c>
      <c r="C267" s="5" t="s">
        <v>1573</v>
      </c>
      <c r="D267" s="5" t="s">
        <v>67</v>
      </c>
      <c r="E267" s="5">
        <v>19660310</v>
      </c>
      <c r="F267" s="5" t="s">
        <v>36</v>
      </c>
      <c r="G267" s="5" t="s">
        <v>1574</v>
      </c>
      <c r="H267" s="5" t="s">
        <v>38</v>
      </c>
      <c r="I267" s="5" t="s">
        <v>1575</v>
      </c>
      <c r="J267" s="5"/>
      <c r="K267" s="5"/>
      <c r="L267" s="5"/>
      <c r="M267" s="5"/>
      <c r="N267" s="5"/>
      <c r="O267" s="5"/>
      <c r="P267" s="5"/>
      <c r="Q267" s="5"/>
      <c r="R267" s="4">
        <v>45784</v>
      </c>
      <c r="S267" s="4">
        <v>46274</v>
      </c>
      <c r="T267" s="5" t="str">
        <f>IF(AND(R267="", S267=""), "대기자", IF(AND(R267&lt;&gt;"", S267=""), "취업 중", IF(AND(R267="", S267&lt;&gt;""), "대기자", IF(R267=S267, "", IF(R267 &lt; S267, "대기자", "취업 중")))))</f>
        <v>대기자</v>
      </c>
      <c r="U267" s="5" t="str">
        <f>IF(J267=""," ",IF(ISNUMBER(SEARCH("소형",J267)),"소형","대형"))</f>
        <v xml:space="preserve"> </v>
      </c>
      <c r="V267" s="4">
        <v>44378</v>
      </c>
      <c r="W267" s="5"/>
      <c r="X267" s="5"/>
      <c r="Y267" s="5"/>
      <c r="Z267" s="13"/>
      <c r="AA267" s="13"/>
      <c r="AB267" s="13"/>
      <c r="AC267" s="13"/>
      <c r="AD267" s="13"/>
      <c r="AE267" s="14"/>
      <c r="AF267" s="14"/>
      <c r="AG267" s="14" t="s">
        <v>193</v>
      </c>
      <c r="AH267" s="14" t="s">
        <v>1576</v>
      </c>
      <c r="AI267" s="6"/>
    </row>
    <row r="268" spans="1:35" ht="19.899999999999999" customHeight="1" x14ac:dyDescent="0.25">
      <c r="A268" s="5">
        <v>265</v>
      </c>
      <c r="B268" s="5" t="s">
        <v>33</v>
      </c>
      <c r="C268" s="5" t="s">
        <v>1577</v>
      </c>
      <c r="D268" s="5" t="s">
        <v>56</v>
      </c>
      <c r="E268" s="5">
        <v>19731118</v>
      </c>
      <c r="F268" s="5" t="s">
        <v>36</v>
      </c>
      <c r="G268" s="5" t="s">
        <v>1578</v>
      </c>
      <c r="H268" s="5" t="s">
        <v>298</v>
      </c>
      <c r="I268" s="5" t="s">
        <v>1579</v>
      </c>
      <c r="J268" s="5" t="s">
        <v>59</v>
      </c>
      <c r="K268" s="5" t="s">
        <v>321</v>
      </c>
      <c r="L268" s="5" t="s">
        <v>1580</v>
      </c>
      <c r="M268" s="5" t="s">
        <v>1581</v>
      </c>
      <c r="N268" s="5" t="s">
        <v>1581</v>
      </c>
      <c r="O268" s="5" t="s">
        <v>38</v>
      </c>
      <c r="P268" s="5" t="s">
        <v>1055</v>
      </c>
      <c r="Q268" s="5" t="s">
        <v>1582</v>
      </c>
      <c r="R268" s="4">
        <v>46006</v>
      </c>
      <c r="S268" s="4">
        <v>45472</v>
      </c>
      <c r="T268" s="5" t="str">
        <f>IF(AND(R268="", S268=""), "대기자", IF(AND(R268&lt;&gt;"", S268=""), "취업 중", IF(AND(R268="", S268&lt;&gt;""), "대기자", IF(R268=S268, "", IF(R268 &lt; S268, "대기자", "취업 중")))))</f>
        <v>취업 중</v>
      </c>
      <c r="U268" s="5" t="str">
        <f>IF(J268=""," ",IF(ISNUMBER(SEARCH("소형",J268)),"소형","대형"))</f>
        <v>대형</v>
      </c>
      <c r="V268" s="4">
        <v>40066</v>
      </c>
      <c r="W268" s="5"/>
      <c r="X268" s="5"/>
      <c r="Y268" s="5"/>
      <c r="Z268" s="13" t="s">
        <v>49</v>
      </c>
      <c r="AA268" s="13" t="s">
        <v>48</v>
      </c>
      <c r="AB268" s="13" t="s">
        <v>48</v>
      </c>
      <c r="AC268" s="13" t="s">
        <v>50</v>
      </c>
      <c r="AD268" s="13" t="s">
        <v>50</v>
      </c>
      <c r="AE268" s="15"/>
      <c r="AF268" s="15"/>
      <c r="AG268" s="15" t="s">
        <v>83</v>
      </c>
      <c r="AH268" s="15" t="s">
        <v>1583</v>
      </c>
      <c r="AI268" s="6"/>
    </row>
    <row r="269" spans="1:35" ht="19.899999999999999" customHeight="1" x14ac:dyDescent="0.25">
      <c r="A269" s="5">
        <v>266</v>
      </c>
      <c r="B269" s="5" t="s">
        <v>33</v>
      </c>
      <c r="C269" s="5" t="s">
        <v>1584</v>
      </c>
      <c r="D269" s="5" t="s">
        <v>144</v>
      </c>
      <c r="E269" s="5">
        <v>19791024</v>
      </c>
      <c r="F269" s="5" t="s">
        <v>36</v>
      </c>
      <c r="G269" s="5" t="s">
        <v>1585</v>
      </c>
      <c r="H269" s="5" t="s">
        <v>38</v>
      </c>
      <c r="I269" s="5" t="s">
        <v>1586</v>
      </c>
      <c r="J269" s="5"/>
      <c r="K269" s="5"/>
      <c r="L269" s="5"/>
      <c r="M269" s="5"/>
      <c r="N269" s="5"/>
      <c r="O269" s="5"/>
      <c r="P269" s="5"/>
      <c r="Q269" s="5"/>
      <c r="R269" s="4">
        <v>45590</v>
      </c>
      <c r="S269" s="4">
        <v>46064</v>
      </c>
      <c r="T269" s="5" t="str">
        <f>IF(AND(R269="", S269=""), "대기자", IF(AND(R269&lt;&gt;"", S269=""), "취업 중", IF(AND(R269="", S269&lt;&gt;""), "대기자", IF(R269=S269, "", IF(R269 &lt; S269, "대기자", "취업 중")))))</f>
        <v>대기자</v>
      </c>
      <c r="U269" s="5" t="str">
        <f>IF(J269=""," ",IF(ISNUMBER(SEARCH("소형",J269)),"소형","대형"))</f>
        <v xml:space="preserve"> </v>
      </c>
      <c r="V269" s="4">
        <v>41012</v>
      </c>
      <c r="W269" s="5"/>
      <c r="X269" s="5"/>
      <c r="Y269" s="5"/>
      <c r="Z269" s="13"/>
      <c r="AA269" s="13"/>
      <c r="AB269" s="13"/>
      <c r="AC269" s="13"/>
      <c r="AD269" s="13"/>
      <c r="AE269" s="14"/>
      <c r="AF269" s="14"/>
      <c r="AG269" s="14"/>
      <c r="AH269" s="14"/>
      <c r="AI269" s="6"/>
    </row>
    <row r="270" spans="1:35" ht="19.899999999999999" customHeight="1" x14ac:dyDescent="0.25">
      <c r="A270" s="5">
        <v>267</v>
      </c>
      <c r="B270" s="5" t="s">
        <v>33</v>
      </c>
      <c r="C270" s="5" t="s">
        <v>1587</v>
      </c>
      <c r="D270" s="5" t="s">
        <v>285</v>
      </c>
      <c r="E270" s="5">
        <v>19740207</v>
      </c>
      <c r="F270" s="5" t="s">
        <v>36</v>
      </c>
      <c r="G270" s="5" t="s">
        <v>1588</v>
      </c>
      <c r="H270" s="5" t="s">
        <v>1589</v>
      </c>
      <c r="I270" s="5" t="s">
        <v>1590</v>
      </c>
      <c r="J270" s="5" t="s">
        <v>1253</v>
      </c>
      <c r="K270" s="5" t="s">
        <v>1253</v>
      </c>
      <c r="L270" s="5" t="s">
        <v>1591</v>
      </c>
      <c r="M270" s="5" t="s">
        <v>1592</v>
      </c>
      <c r="N270" s="5" t="s">
        <v>1593</v>
      </c>
      <c r="O270" s="5" t="s">
        <v>38</v>
      </c>
      <c r="P270" s="5" t="s">
        <v>152</v>
      </c>
      <c r="Q270" s="5" t="s">
        <v>1594</v>
      </c>
      <c r="R270" s="4">
        <v>46217</v>
      </c>
      <c r="S270" s="4">
        <v>45994</v>
      </c>
      <c r="T270" s="5" t="str">
        <f>IF(AND(R270="", S270=""), "대기자", IF(AND(R270&lt;&gt;"", S270=""), "취업 중", IF(AND(R270="", S270&lt;&gt;""), "대기자", IF(R270=S270, "", IF(R270 &lt; S270, "대기자", "취업 중")))))</f>
        <v>취업 중</v>
      </c>
      <c r="U270" s="5" t="str">
        <f>IF(J270=""," ",IF(ISNUMBER(SEARCH("소형",J270)),"소형","대형"))</f>
        <v>대형</v>
      </c>
      <c r="V270" s="4">
        <v>45627</v>
      </c>
      <c r="W270" s="5"/>
      <c r="X270" s="5"/>
      <c r="Y270" s="5"/>
      <c r="Z270" s="13" t="s">
        <v>48</v>
      </c>
      <c r="AA270" s="13" t="s">
        <v>48</v>
      </c>
      <c r="AB270" s="13" t="s">
        <v>50</v>
      </c>
      <c r="AC270" s="13" t="s">
        <v>50</v>
      </c>
      <c r="AD270" s="13" t="s">
        <v>50</v>
      </c>
      <c r="AE270" s="15"/>
      <c r="AF270" s="15"/>
      <c r="AG270" s="15"/>
      <c r="AH270" s="15"/>
      <c r="AI270" s="6"/>
    </row>
    <row r="271" spans="1:35" ht="19.899999999999999" customHeight="1" x14ac:dyDescent="0.25">
      <c r="A271" s="5">
        <v>268</v>
      </c>
      <c r="B271" s="5" t="s">
        <v>33</v>
      </c>
      <c r="C271" s="5" t="s">
        <v>1595</v>
      </c>
      <c r="D271" s="5" t="s">
        <v>285</v>
      </c>
      <c r="E271" s="5">
        <v>19720618</v>
      </c>
      <c r="F271" s="5" t="s">
        <v>36</v>
      </c>
      <c r="G271" s="5" t="s">
        <v>1596</v>
      </c>
      <c r="H271" s="5" t="s">
        <v>38</v>
      </c>
      <c r="I271" s="5" t="s">
        <v>1597</v>
      </c>
      <c r="J271" s="5" t="s">
        <v>1598</v>
      </c>
      <c r="K271" s="5" t="s">
        <v>76</v>
      </c>
      <c r="L271" s="5" t="s">
        <v>1467</v>
      </c>
      <c r="M271" s="5" t="s">
        <v>1599</v>
      </c>
      <c r="N271" s="5" t="s">
        <v>1600</v>
      </c>
      <c r="O271" s="5" t="s">
        <v>38</v>
      </c>
      <c r="P271" s="5" t="s">
        <v>512</v>
      </c>
      <c r="Q271" s="5" t="s">
        <v>1470</v>
      </c>
      <c r="R271" s="4">
        <v>45920</v>
      </c>
      <c r="S271" s="4">
        <v>45458</v>
      </c>
      <c r="T271" s="5" t="str">
        <f>IF(AND(R271="", S271=""), "대기자", IF(AND(R271&lt;&gt;"", S271=""), "취업 중", IF(AND(R271="", S271&lt;&gt;""), "대기자", IF(R271=S271, "", IF(R271 &lt; S271, "대기자", "취업 중")))))</f>
        <v>취업 중</v>
      </c>
      <c r="U271" s="5" t="str">
        <f>IF(J271=""," ",IF(ISNUMBER(SEARCH("소형",J271)),"소형","대형"))</f>
        <v>대형</v>
      </c>
      <c r="V271" s="4">
        <v>42603</v>
      </c>
      <c r="W271" s="5"/>
      <c r="X271" s="5"/>
      <c r="Y271" s="5"/>
      <c r="Z271" s="13" t="s">
        <v>94</v>
      </c>
      <c r="AA271" s="13" t="s">
        <v>48</v>
      </c>
      <c r="AB271" s="13" t="s">
        <v>70</v>
      </c>
      <c r="AC271" s="13" t="s">
        <v>50</v>
      </c>
      <c r="AD271" s="13" t="s">
        <v>48</v>
      </c>
      <c r="AE271" s="14"/>
      <c r="AF271" s="14"/>
      <c r="AG271" s="14" t="s">
        <v>83</v>
      </c>
      <c r="AH271" s="14" t="s">
        <v>1601</v>
      </c>
      <c r="AI271" s="6"/>
    </row>
    <row r="272" spans="1:35" ht="19.899999999999999" customHeight="1" x14ac:dyDescent="0.25">
      <c r="A272" s="5">
        <v>269</v>
      </c>
      <c r="B272" s="5" t="s">
        <v>33</v>
      </c>
      <c r="C272" s="5" t="s">
        <v>1602</v>
      </c>
      <c r="D272" s="5" t="s">
        <v>99</v>
      </c>
      <c r="E272" s="5">
        <v>19651008</v>
      </c>
      <c r="F272" s="5" t="s">
        <v>36</v>
      </c>
      <c r="G272" s="5" t="s">
        <v>1603</v>
      </c>
      <c r="H272" s="5" t="s">
        <v>38</v>
      </c>
      <c r="I272" s="5" t="s">
        <v>1604</v>
      </c>
      <c r="J272" s="5"/>
      <c r="K272" s="5"/>
      <c r="L272" s="5"/>
      <c r="M272" s="5"/>
      <c r="N272" s="5"/>
      <c r="O272" s="5"/>
      <c r="P272" s="5"/>
      <c r="Q272" s="5"/>
      <c r="R272" s="4">
        <v>45059</v>
      </c>
      <c r="S272" s="4">
        <v>45850</v>
      </c>
      <c r="T272" s="5" t="str">
        <f>IF(AND(R272="", S272=""), "대기자", IF(AND(R272&lt;&gt;"", S272=""), "취업 중", IF(AND(R272="", S272&lt;&gt;""), "대기자", IF(R272=S272, "", IF(R272 &lt; S272, "대기자", "취업 중")))))</f>
        <v>대기자</v>
      </c>
      <c r="U272" s="5" t="str">
        <f>IF(J272=""," ",IF(ISNUMBER(SEARCH("소형",J272)),"소형","대형"))</f>
        <v xml:space="preserve"> </v>
      </c>
      <c r="V272" s="4">
        <v>42455</v>
      </c>
      <c r="W272" s="5"/>
      <c r="X272" s="5"/>
      <c r="Y272" s="5"/>
      <c r="Z272" s="13"/>
      <c r="AA272" s="13"/>
      <c r="AB272" s="13"/>
      <c r="AC272" s="13"/>
      <c r="AD272" s="13"/>
      <c r="AE272" s="15"/>
      <c r="AF272" s="15"/>
      <c r="AG272" s="15"/>
      <c r="AH272" s="15"/>
      <c r="AI272" s="6"/>
    </row>
    <row r="273" spans="1:35" ht="19.899999999999999" customHeight="1" x14ac:dyDescent="0.25">
      <c r="A273" s="5">
        <v>270</v>
      </c>
      <c r="B273" s="5" t="s">
        <v>33</v>
      </c>
      <c r="C273" s="5" t="s">
        <v>1605</v>
      </c>
      <c r="D273" s="5" t="s">
        <v>179</v>
      </c>
      <c r="E273" s="5">
        <v>19950520</v>
      </c>
      <c r="F273" s="5" t="s">
        <v>36</v>
      </c>
      <c r="G273" s="5" t="s">
        <v>1606</v>
      </c>
      <c r="H273" s="5" t="s">
        <v>38</v>
      </c>
      <c r="I273" s="5" t="s">
        <v>1607</v>
      </c>
      <c r="J273" s="5" t="s">
        <v>59</v>
      </c>
      <c r="K273" s="5" t="s">
        <v>509</v>
      </c>
      <c r="L273" s="5" t="s">
        <v>1540</v>
      </c>
      <c r="M273" s="5" t="s">
        <v>62</v>
      </c>
      <c r="N273" s="5" t="s">
        <v>63</v>
      </c>
      <c r="O273" s="5" t="s">
        <v>38</v>
      </c>
      <c r="P273" s="5" t="s">
        <v>512</v>
      </c>
      <c r="Q273" s="5" t="s">
        <v>513</v>
      </c>
      <c r="R273" s="4">
        <v>46268</v>
      </c>
      <c r="S273" s="4">
        <v>46185</v>
      </c>
      <c r="T273" s="5" t="str">
        <f>IF(AND(R273="", S273=""), "대기자", IF(AND(R273&lt;&gt;"", S273=""), "취업 중", IF(AND(R273="", S273&lt;&gt;""), "대기자", IF(R273=S273, "", IF(R273 &lt; S273, "대기자", "취업 중")))))</f>
        <v>취업 중</v>
      </c>
      <c r="U273" s="5" t="str">
        <f>IF(J273=""," ",IF(ISNUMBER(SEARCH("소형",J273)),"소형","대형"))</f>
        <v>대형</v>
      </c>
      <c r="V273" s="4">
        <v>42975</v>
      </c>
      <c r="W273" s="5"/>
      <c r="X273" s="5"/>
      <c r="Y273" s="5"/>
      <c r="Z273" s="13">
        <v>4</v>
      </c>
      <c r="AA273" s="13">
        <v>2</v>
      </c>
      <c r="AB273" s="13">
        <v>2</v>
      </c>
      <c r="AC273" s="13">
        <v>0</v>
      </c>
      <c r="AD273" s="13">
        <v>0</v>
      </c>
      <c r="AE273" s="14"/>
      <c r="AF273" s="14"/>
      <c r="AG273" s="14"/>
      <c r="AH273" s="14" t="s">
        <v>1608</v>
      </c>
      <c r="AI273" s="6"/>
    </row>
    <row r="274" spans="1:35" ht="19.899999999999999" customHeight="1" x14ac:dyDescent="0.25">
      <c r="A274" s="5">
        <v>271</v>
      </c>
      <c r="B274" s="5" t="s">
        <v>33</v>
      </c>
      <c r="C274" s="5" t="s">
        <v>1609</v>
      </c>
      <c r="D274" s="5" t="s">
        <v>67</v>
      </c>
      <c r="E274" s="5">
        <v>19840521</v>
      </c>
      <c r="F274" s="5" t="s">
        <v>36</v>
      </c>
      <c r="G274" s="5" t="s">
        <v>1610</v>
      </c>
      <c r="H274" s="5" t="s">
        <v>38</v>
      </c>
      <c r="I274" s="5" t="s">
        <v>1611</v>
      </c>
      <c r="J274" s="5"/>
      <c r="K274" s="5"/>
      <c r="L274" s="5"/>
      <c r="M274" s="5"/>
      <c r="N274" s="5"/>
      <c r="O274" s="5"/>
      <c r="P274" s="5"/>
      <c r="Q274" s="5"/>
      <c r="R274" s="4">
        <v>45802</v>
      </c>
      <c r="S274" s="4">
        <v>46058</v>
      </c>
      <c r="T274" s="5" t="str">
        <f>IF(AND(R274="", S274=""), "대기자", IF(AND(R274&lt;&gt;"", S274=""), "취업 중", IF(AND(R274="", S274&lt;&gt;""), "대기자", IF(R274=S274, "", IF(R274 &lt; S274, "대기자", "취업 중")))))</f>
        <v>대기자</v>
      </c>
      <c r="U274" s="5" t="str">
        <f>IF(J274=""," ",IF(ISNUMBER(SEARCH("소형",J274)),"소형","대형"))</f>
        <v xml:space="preserve"> </v>
      </c>
      <c r="V274" s="4">
        <v>44564</v>
      </c>
      <c r="W274" s="5"/>
      <c r="X274" s="5"/>
      <c r="Y274" s="5"/>
      <c r="Z274" s="13"/>
      <c r="AA274" s="13"/>
      <c r="AB274" s="13"/>
      <c r="AC274" s="13"/>
      <c r="AD274" s="13"/>
      <c r="AE274" s="15"/>
      <c r="AF274" s="15"/>
      <c r="AG274" s="15"/>
      <c r="AH274" s="15"/>
      <c r="AI274" s="6"/>
    </row>
    <row r="275" spans="1:35" ht="19.899999999999999" customHeight="1" x14ac:dyDescent="0.25">
      <c r="A275" s="5">
        <v>272</v>
      </c>
      <c r="B275" s="5" t="s">
        <v>33</v>
      </c>
      <c r="C275" s="5" t="s">
        <v>1612</v>
      </c>
      <c r="D275" s="5" t="s">
        <v>99</v>
      </c>
      <c r="E275" s="5">
        <v>19771019</v>
      </c>
      <c r="F275" s="5" t="s">
        <v>36</v>
      </c>
      <c r="G275" s="5" t="s">
        <v>1613</v>
      </c>
      <c r="H275" s="5" t="s">
        <v>38</v>
      </c>
      <c r="I275" s="5" t="s">
        <v>1614</v>
      </c>
      <c r="J275" s="5"/>
      <c r="K275" s="5"/>
      <c r="L275" s="5"/>
      <c r="M275" s="5"/>
      <c r="N275" s="5"/>
      <c r="O275" s="5"/>
      <c r="P275" s="5"/>
      <c r="Q275" s="5"/>
      <c r="R275" s="4">
        <v>45772</v>
      </c>
      <c r="S275" s="4">
        <v>46153</v>
      </c>
      <c r="T275" s="5" t="str">
        <f>IF(AND(R275="", S275=""), "대기자", IF(AND(R275&lt;&gt;"", S275=""), "취업 중", IF(AND(R275="", S275&lt;&gt;""), "대기자", IF(R275=S275, "", IF(R275 &lt; S275, "대기자", "취업 중")))))</f>
        <v>대기자</v>
      </c>
      <c r="U275" s="5" t="str">
        <f>IF(J275=""," ",IF(ISNUMBER(SEARCH("소형",J275)),"소형","대형"))</f>
        <v xml:space="preserve"> </v>
      </c>
      <c r="V275" s="4">
        <v>43647</v>
      </c>
      <c r="W275" s="5"/>
      <c r="X275" s="5"/>
      <c r="Y275" s="5"/>
      <c r="Z275" s="13"/>
      <c r="AA275" s="13"/>
      <c r="AB275" s="13"/>
      <c r="AC275" s="13"/>
      <c r="AD275" s="13"/>
      <c r="AE275" s="14"/>
      <c r="AF275" s="14"/>
      <c r="AG275" s="14" t="s">
        <v>193</v>
      </c>
      <c r="AH275" s="14"/>
      <c r="AI275" s="6"/>
    </row>
    <row r="276" spans="1:35" ht="19.899999999999999" customHeight="1" x14ac:dyDescent="0.25">
      <c r="A276" s="5">
        <v>273</v>
      </c>
      <c r="B276" s="5" t="s">
        <v>33</v>
      </c>
      <c r="C276" s="5" t="s">
        <v>1615</v>
      </c>
      <c r="D276" s="5" t="s">
        <v>56</v>
      </c>
      <c r="E276" s="5">
        <v>19640315</v>
      </c>
      <c r="F276" s="5" t="s">
        <v>36</v>
      </c>
      <c r="G276" s="5" t="s">
        <v>1616</v>
      </c>
      <c r="H276" s="5" t="s">
        <v>38</v>
      </c>
      <c r="I276" s="5" t="s">
        <v>1617</v>
      </c>
      <c r="J276" s="5" t="s">
        <v>1547</v>
      </c>
      <c r="K276" s="5" t="s">
        <v>353</v>
      </c>
      <c r="L276" s="5" t="s">
        <v>1548</v>
      </c>
      <c r="M276" s="5" t="s">
        <v>1549</v>
      </c>
      <c r="N276" s="5" t="s">
        <v>1550</v>
      </c>
      <c r="O276" s="5" t="s">
        <v>38</v>
      </c>
      <c r="P276" s="5" t="s">
        <v>215</v>
      </c>
      <c r="Q276" s="5" t="s">
        <v>1551</v>
      </c>
      <c r="R276" s="4">
        <v>45929</v>
      </c>
      <c r="S276" s="4">
        <v>45567</v>
      </c>
      <c r="T276" s="5" t="str">
        <f>IF(AND(R276="", S276=""), "대기자", IF(AND(R276&lt;&gt;"", S276=""), "취업 중", IF(AND(R276="", S276&lt;&gt;""), "대기자", IF(R276=S276, "", IF(R276 &lt; S276, "대기자", "취업 중")))))</f>
        <v>취업 중</v>
      </c>
      <c r="U276" s="5" t="str">
        <f>IF(J276=""," ",IF(ISNUMBER(SEARCH("소형",J276)),"소형","대형"))</f>
        <v>대형</v>
      </c>
      <c r="V276" s="4">
        <v>39335</v>
      </c>
      <c r="W276" s="5"/>
      <c r="X276" s="5"/>
      <c r="Y276" s="5"/>
      <c r="Z276" s="13" t="s">
        <v>82</v>
      </c>
      <c r="AA276" s="13" t="s">
        <v>70</v>
      </c>
      <c r="AB276" s="13" t="s">
        <v>70</v>
      </c>
      <c r="AC276" s="13" t="s">
        <v>50</v>
      </c>
      <c r="AD276" s="13" t="s">
        <v>50</v>
      </c>
      <c r="AE276" s="15"/>
      <c r="AF276" s="15"/>
      <c r="AG276" s="15" t="s">
        <v>155</v>
      </c>
      <c r="AH276" s="15" t="s">
        <v>1618</v>
      </c>
      <c r="AI276" s="6"/>
    </row>
    <row r="277" spans="1:35" ht="19.899999999999999" customHeight="1" x14ac:dyDescent="0.25">
      <c r="A277" s="5">
        <v>274</v>
      </c>
      <c r="B277" s="5" t="s">
        <v>33</v>
      </c>
      <c r="C277" s="5" t="s">
        <v>1619</v>
      </c>
      <c r="D277" s="5" t="s">
        <v>99</v>
      </c>
      <c r="E277" s="5">
        <v>19771201</v>
      </c>
      <c r="F277" s="5" t="s">
        <v>36</v>
      </c>
      <c r="G277" s="5" t="s">
        <v>1620</v>
      </c>
      <c r="H277" s="5" t="s">
        <v>38</v>
      </c>
      <c r="I277" s="5" t="s">
        <v>1621</v>
      </c>
      <c r="J277" s="5" t="s">
        <v>1121</v>
      </c>
      <c r="K277" s="5" t="s">
        <v>599</v>
      </c>
      <c r="L277" s="5" t="s">
        <v>1622</v>
      </c>
      <c r="M277" s="5" t="s">
        <v>1623</v>
      </c>
      <c r="N277" s="5" t="s">
        <v>1624</v>
      </c>
      <c r="O277" s="5" t="s">
        <v>38</v>
      </c>
      <c r="P277" s="5" t="s">
        <v>64</v>
      </c>
      <c r="Q277" s="5" t="s">
        <v>1625</v>
      </c>
      <c r="R277" s="4">
        <v>45947</v>
      </c>
      <c r="S277" s="4">
        <v>45707</v>
      </c>
      <c r="T277" s="5" t="str">
        <f>IF(AND(R277="", S277=""), "대기자", IF(AND(R277&lt;&gt;"", S277=""), "취업 중", IF(AND(R277="", S277&lt;&gt;""), "대기자", IF(R277=S277, "", IF(R277 &lt; S277, "대기자", "취업 중")))))</f>
        <v>취업 중</v>
      </c>
      <c r="U277" s="5" t="str">
        <f>IF(J277=""," ",IF(ISNUMBER(SEARCH("소형",J277)),"소형","대형"))</f>
        <v>대형</v>
      </c>
      <c r="V277" s="4">
        <v>43647</v>
      </c>
      <c r="W277" s="5"/>
      <c r="X277" s="5"/>
      <c r="Y277" s="5"/>
      <c r="Z277" s="13" t="s">
        <v>49</v>
      </c>
      <c r="AA277" s="13" t="s">
        <v>49</v>
      </c>
      <c r="AB277" s="13" t="s">
        <v>50</v>
      </c>
      <c r="AC277" s="13" t="s">
        <v>50</v>
      </c>
      <c r="AD277" s="13" t="s">
        <v>50</v>
      </c>
      <c r="AE277" s="14"/>
      <c r="AF277" s="14"/>
      <c r="AG277" s="14" t="s">
        <v>117</v>
      </c>
      <c r="AH277" s="14" t="s">
        <v>1626</v>
      </c>
      <c r="AI277" s="6"/>
    </row>
    <row r="278" spans="1:35" ht="19.899999999999999" customHeight="1" x14ac:dyDescent="0.25">
      <c r="A278" s="5">
        <v>275</v>
      </c>
      <c r="B278" s="5" t="s">
        <v>33</v>
      </c>
      <c r="C278" s="5" t="s">
        <v>1627</v>
      </c>
      <c r="D278" s="5" t="s">
        <v>285</v>
      </c>
      <c r="E278" s="5">
        <v>19920320</v>
      </c>
      <c r="F278" s="5" t="s">
        <v>36</v>
      </c>
      <c r="G278" s="5" t="s">
        <v>1628</v>
      </c>
      <c r="H278" s="5" t="s">
        <v>38</v>
      </c>
      <c r="I278" s="5" t="s">
        <v>1629</v>
      </c>
      <c r="J278" s="5"/>
      <c r="K278" s="5"/>
      <c r="L278" s="5"/>
      <c r="M278" s="5"/>
      <c r="N278" s="5"/>
      <c r="O278" s="5"/>
      <c r="P278" s="5"/>
      <c r="Q278" s="5"/>
      <c r="R278" s="4">
        <v>45866</v>
      </c>
      <c r="S278" s="4">
        <v>46224</v>
      </c>
      <c r="T278" s="5" t="str">
        <f>IF(AND(R278="", S278=""), "대기자", IF(AND(R278&lt;&gt;"", S278=""), "취업 중", IF(AND(R278="", S278&lt;&gt;""), "대기자", IF(R278=S278, "", IF(R278 &lt; S278, "대기자", "취업 중")))))</f>
        <v>대기자</v>
      </c>
      <c r="U278" s="5" t="str">
        <f>IF(J278=""," ",IF(ISNUMBER(SEARCH("소형",J278)),"소형","대형"))</f>
        <v xml:space="preserve"> </v>
      </c>
      <c r="V278" s="4">
        <v>42976</v>
      </c>
      <c r="W278" s="5"/>
      <c r="X278" s="5"/>
      <c r="Y278" s="5"/>
      <c r="Z278" s="13"/>
      <c r="AA278" s="13"/>
      <c r="AB278" s="13"/>
      <c r="AC278" s="13"/>
      <c r="AD278" s="13"/>
      <c r="AE278" s="15"/>
      <c r="AF278" s="15"/>
      <c r="AG278" s="15" t="s">
        <v>83</v>
      </c>
      <c r="AH278" s="15" t="s">
        <v>1630</v>
      </c>
      <c r="AI278" s="6"/>
    </row>
    <row r="279" spans="1:35" ht="19.899999999999999" customHeight="1" x14ac:dyDescent="0.25">
      <c r="A279" s="5">
        <v>276</v>
      </c>
      <c r="B279" s="5" t="s">
        <v>33</v>
      </c>
      <c r="C279" s="5" t="s">
        <v>1631</v>
      </c>
      <c r="D279" s="5" t="s">
        <v>72</v>
      </c>
      <c r="E279" s="5">
        <v>19710107</v>
      </c>
      <c r="F279" s="5" t="s">
        <v>36</v>
      </c>
      <c r="G279" s="5" t="s">
        <v>1632</v>
      </c>
      <c r="H279" s="5" t="s">
        <v>38</v>
      </c>
      <c r="I279" s="5" t="s">
        <v>1633</v>
      </c>
      <c r="J279" s="5" t="s">
        <v>59</v>
      </c>
      <c r="K279" s="5" t="s">
        <v>112</v>
      </c>
      <c r="L279" s="5" t="s">
        <v>113</v>
      </c>
      <c r="M279" s="5" t="s">
        <v>62</v>
      </c>
      <c r="N279" s="5" t="s">
        <v>1138</v>
      </c>
      <c r="O279" s="5" t="s">
        <v>38</v>
      </c>
      <c r="P279" s="5" t="s">
        <v>64</v>
      </c>
      <c r="Q279" s="5" t="s">
        <v>65</v>
      </c>
      <c r="R279" s="4">
        <v>46127</v>
      </c>
      <c r="S279" s="4">
        <v>45803</v>
      </c>
      <c r="T279" s="5" t="str">
        <f>IF(AND(R279="", S279=""), "대기자", IF(AND(R279&lt;&gt;"", S279=""), "취업 중", IF(AND(R279="", S279&lt;&gt;""), "대기자", IF(R279=S279, "", IF(R279 &lt; S279, "대기자", "취업 중")))))</f>
        <v>취업 중</v>
      </c>
      <c r="U279" s="5" t="str">
        <f>IF(J279=""," ",IF(ISNUMBER(SEARCH("소형",J279)),"소형","대형"))</f>
        <v>대형</v>
      </c>
      <c r="V279" s="4">
        <v>42241</v>
      </c>
      <c r="W279" s="5"/>
      <c r="X279" s="5"/>
      <c r="Y279" s="5"/>
      <c r="Z279" s="13">
        <v>23</v>
      </c>
      <c r="AA279" s="13">
        <v>10</v>
      </c>
      <c r="AB279" s="13">
        <v>10</v>
      </c>
      <c r="AC279" s="13">
        <v>1</v>
      </c>
      <c r="AD279" s="13">
        <v>2</v>
      </c>
      <c r="AE279" s="14"/>
      <c r="AF279" s="14"/>
      <c r="AG279" s="14"/>
      <c r="AH279" s="14" t="s">
        <v>1634</v>
      </c>
      <c r="AI279" s="6"/>
    </row>
    <row r="280" spans="1:35" ht="19.899999999999999" customHeight="1" x14ac:dyDescent="0.25">
      <c r="A280" s="5">
        <v>277</v>
      </c>
      <c r="B280" s="5" t="s">
        <v>33</v>
      </c>
      <c r="C280" s="5" t="s">
        <v>1635</v>
      </c>
      <c r="D280" s="5" t="s">
        <v>35</v>
      </c>
      <c r="E280" s="5">
        <v>19640123</v>
      </c>
      <c r="F280" s="5" t="s">
        <v>36</v>
      </c>
      <c r="G280" s="5" t="s">
        <v>1636</v>
      </c>
      <c r="H280" s="5" t="s">
        <v>38</v>
      </c>
      <c r="I280" s="5" t="s">
        <v>1637</v>
      </c>
      <c r="J280" s="5" t="s">
        <v>1567</v>
      </c>
      <c r="K280" s="5" t="s">
        <v>76</v>
      </c>
      <c r="L280" s="5" t="s">
        <v>245</v>
      </c>
      <c r="M280" s="5" t="s">
        <v>246</v>
      </c>
      <c r="N280" s="5"/>
      <c r="O280" s="5" t="s">
        <v>38</v>
      </c>
      <c r="P280" s="5" t="s">
        <v>64</v>
      </c>
      <c r="Q280" s="5" t="s">
        <v>247</v>
      </c>
      <c r="R280" s="4">
        <v>46129</v>
      </c>
      <c r="S280" s="4">
        <v>45715</v>
      </c>
      <c r="T280" s="5" t="str">
        <f>IF(AND(R280="", S280=""), "대기자", IF(AND(R280&lt;&gt;"", S280=""), "취업 중", IF(AND(R280="", S280&lt;&gt;""), "대기자", IF(R280=S280, "", IF(R280 &lt; S280, "대기자", "취업 중")))))</f>
        <v>취업 중</v>
      </c>
      <c r="U280" s="5" t="str">
        <f>IF(J280=""," ",IF(ISNUMBER(SEARCH("소형",J280)),"소형","대형"))</f>
        <v>대형</v>
      </c>
      <c r="V280" s="4">
        <v>39448</v>
      </c>
      <c r="W280" s="5"/>
      <c r="X280" s="5"/>
      <c r="Y280" s="5"/>
      <c r="Z280" s="13" t="s">
        <v>47</v>
      </c>
      <c r="AA280" s="13" t="s">
        <v>48</v>
      </c>
      <c r="AB280" s="13" t="s">
        <v>49</v>
      </c>
      <c r="AC280" s="13" t="s">
        <v>50</v>
      </c>
      <c r="AD280" s="13" t="s">
        <v>48</v>
      </c>
      <c r="AE280" s="15"/>
      <c r="AF280" s="15"/>
      <c r="AG280" s="15"/>
      <c r="AH280" s="15" t="s">
        <v>1638</v>
      </c>
      <c r="AI280" s="6"/>
    </row>
    <row r="281" spans="1:35" ht="19.899999999999999" customHeight="1" x14ac:dyDescent="0.25">
      <c r="A281" s="5">
        <v>278</v>
      </c>
      <c r="B281" s="5" t="s">
        <v>33</v>
      </c>
      <c r="C281" s="5" t="s">
        <v>1639</v>
      </c>
      <c r="D281" s="5" t="s">
        <v>179</v>
      </c>
      <c r="E281" s="5">
        <v>19830221</v>
      </c>
      <c r="F281" s="5" t="s">
        <v>36</v>
      </c>
      <c r="G281" s="5" t="s">
        <v>1640</v>
      </c>
      <c r="H281" s="5" t="s">
        <v>38</v>
      </c>
      <c r="I281" s="5" t="s">
        <v>1641</v>
      </c>
      <c r="J281" s="5" t="s">
        <v>102</v>
      </c>
      <c r="K281" s="5" t="s">
        <v>102</v>
      </c>
      <c r="L281" s="5" t="s">
        <v>1642</v>
      </c>
      <c r="M281" s="5" t="s">
        <v>1643</v>
      </c>
      <c r="N281" s="5"/>
      <c r="O281" s="5" t="s">
        <v>38</v>
      </c>
      <c r="P281" s="5" t="s">
        <v>152</v>
      </c>
      <c r="Q281" s="5" t="s">
        <v>1644</v>
      </c>
      <c r="R281" s="4">
        <v>46283</v>
      </c>
      <c r="S281" s="4">
        <v>45990</v>
      </c>
      <c r="T281" s="5" t="str">
        <f>IF(AND(R281="", S281=""), "대기자", IF(AND(R281&lt;&gt;"", S281=""), "취업 중", IF(AND(R281="", S281&lt;&gt;""), "대기자", IF(R281=S281, "", IF(R281 &lt; S281, "대기자", "취업 중")))))</f>
        <v>취업 중</v>
      </c>
      <c r="U281" s="5" t="str">
        <f>IF(J281=""," ",IF(ISNUMBER(SEARCH("소형",J281)),"소형","대형"))</f>
        <v>소형</v>
      </c>
      <c r="V281" s="4">
        <v>45627</v>
      </c>
      <c r="W281" s="5"/>
      <c r="X281" s="5" t="s">
        <v>1645</v>
      </c>
      <c r="Y281" s="5"/>
      <c r="Z281" s="13"/>
      <c r="AA281" s="13"/>
      <c r="AB281" s="13"/>
      <c r="AC281" s="13"/>
      <c r="AD281" s="13"/>
      <c r="AE281" s="14"/>
      <c r="AF281" s="14"/>
      <c r="AG281" s="14"/>
      <c r="AH281" s="14"/>
      <c r="AI281" s="6"/>
    </row>
    <row r="282" spans="1:35" ht="19.899999999999999" customHeight="1" x14ac:dyDescent="0.25">
      <c r="A282" s="5">
        <v>279</v>
      </c>
      <c r="B282" s="5" t="s">
        <v>33</v>
      </c>
      <c r="C282" s="5" t="s">
        <v>1646</v>
      </c>
      <c r="D282" s="5" t="s">
        <v>179</v>
      </c>
      <c r="E282" s="5">
        <v>19731226</v>
      </c>
      <c r="F282" s="5" t="s">
        <v>36</v>
      </c>
      <c r="G282" s="5" t="s">
        <v>1647</v>
      </c>
      <c r="H282" s="5" t="s">
        <v>38</v>
      </c>
      <c r="I282" s="5" t="s">
        <v>1648</v>
      </c>
      <c r="J282" s="5" t="s">
        <v>814</v>
      </c>
      <c r="K282" s="5" t="s">
        <v>41</v>
      </c>
      <c r="L282" s="5" t="s">
        <v>1649</v>
      </c>
      <c r="M282" s="5" t="s">
        <v>1650</v>
      </c>
      <c r="N282" s="5" t="s">
        <v>1651</v>
      </c>
      <c r="O282" s="5" t="s">
        <v>38</v>
      </c>
      <c r="P282" s="5" t="s">
        <v>215</v>
      </c>
      <c r="Q282" s="5" t="s">
        <v>1652</v>
      </c>
      <c r="R282" s="4">
        <v>46101</v>
      </c>
      <c r="S282" s="4">
        <v>45637</v>
      </c>
      <c r="T282" s="5" t="str">
        <f>IF(AND(R282="", S282=""), "대기자", IF(AND(R282&lt;&gt;"", S282=""), "취업 중", IF(AND(R282="", S282&lt;&gt;""), "대기자", IF(R282=S282, "", IF(R282 &lt; S282, "대기자", "취업 중")))))</f>
        <v>취업 중</v>
      </c>
      <c r="U282" s="5" t="str">
        <f>IF(J282=""," ",IF(ISNUMBER(SEARCH("소형",J282)),"소형","대형"))</f>
        <v>대형</v>
      </c>
      <c r="V282" s="4">
        <v>40668</v>
      </c>
      <c r="W282" s="5"/>
      <c r="X282" s="5"/>
      <c r="Y282" s="5"/>
      <c r="Z282" s="13" t="s">
        <v>49</v>
      </c>
      <c r="AA282" s="13" t="s">
        <v>48</v>
      </c>
      <c r="AB282" s="13" t="s">
        <v>48</v>
      </c>
      <c r="AC282" s="13" t="s">
        <v>50</v>
      </c>
      <c r="AD282" s="13" t="s">
        <v>50</v>
      </c>
      <c r="AE282" s="15"/>
      <c r="AF282" s="15"/>
      <c r="AG282" s="15"/>
      <c r="AH282" s="15" t="s">
        <v>1653</v>
      </c>
      <c r="AI282" s="6"/>
    </row>
    <row r="283" spans="1:35" ht="19.899999999999999" customHeight="1" x14ac:dyDescent="0.25">
      <c r="A283" s="5">
        <v>280</v>
      </c>
      <c r="B283" s="5" t="s">
        <v>33</v>
      </c>
      <c r="C283" s="5" t="s">
        <v>1654</v>
      </c>
      <c r="D283" s="5" t="s">
        <v>56</v>
      </c>
      <c r="E283" s="5">
        <v>19790730</v>
      </c>
      <c r="F283" s="5" t="s">
        <v>36</v>
      </c>
      <c r="G283" s="5" t="s">
        <v>1655</v>
      </c>
      <c r="H283" s="5" t="s">
        <v>38</v>
      </c>
      <c r="I283" s="5" t="s">
        <v>1656</v>
      </c>
      <c r="J283" s="5" t="s">
        <v>59</v>
      </c>
      <c r="K283" s="5" t="s">
        <v>509</v>
      </c>
      <c r="L283" s="5" t="s">
        <v>1657</v>
      </c>
      <c r="M283" s="5" t="s">
        <v>62</v>
      </c>
      <c r="N283" s="5" t="s">
        <v>63</v>
      </c>
      <c r="O283" s="5" t="s">
        <v>38</v>
      </c>
      <c r="P283" s="5" t="s">
        <v>512</v>
      </c>
      <c r="Q283" s="5" t="s">
        <v>513</v>
      </c>
      <c r="R283" s="4">
        <v>46242</v>
      </c>
      <c r="S283" s="4">
        <v>46133</v>
      </c>
      <c r="T283" s="5" t="str">
        <f>IF(AND(R283="", S283=""), "대기자", IF(AND(R283&lt;&gt;"", S283=""), "취업 중", IF(AND(R283="", S283&lt;&gt;""), "대기자", IF(R283=S283, "", IF(R283 &lt; S283, "대기자", "취업 중")))))</f>
        <v>취업 중</v>
      </c>
      <c r="U283" s="5" t="str">
        <f>IF(J283=""," ",IF(ISNUMBER(SEARCH("소형",J283)),"소형","대형"))</f>
        <v>대형</v>
      </c>
      <c r="V283" s="4">
        <v>43773</v>
      </c>
      <c r="W283" s="5"/>
      <c r="X283" s="5"/>
      <c r="Y283" s="5"/>
      <c r="Z283" s="13">
        <v>2</v>
      </c>
      <c r="AA283" s="13">
        <v>1</v>
      </c>
      <c r="AB283" s="13">
        <v>1</v>
      </c>
      <c r="AC283" s="13">
        <v>0</v>
      </c>
      <c r="AD283" s="13">
        <v>0</v>
      </c>
      <c r="AE283" s="14"/>
      <c r="AF283" s="14"/>
      <c r="AG283" s="14"/>
      <c r="AH283" s="14"/>
      <c r="AI283" s="6"/>
    </row>
    <row r="284" spans="1:35" ht="19.899999999999999" customHeight="1" x14ac:dyDescent="0.25">
      <c r="A284" s="5">
        <v>281</v>
      </c>
      <c r="B284" s="5" t="s">
        <v>33</v>
      </c>
      <c r="C284" s="5" t="s">
        <v>1658</v>
      </c>
      <c r="D284" s="5" t="s">
        <v>144</v>
      </c>
      <c r="E284" s="5">
        <v>19700529</v>
      </c>
      <c r="F284" s="5" t="s">
        <v>36</v>
      </c>
      <c r="G284" s="5" t="s">
        <v>1659</v>
      </c>
      <c r="H284" s="5" t="s">
        <v>38</v>
      </c>
      <c r="I284" s="5" t="s">
        <v>1660</v>
      </c>
      <c r="J284" s="5" t="s">
        <v>1547</v>
      </c>
      <c r="K284" s="5" t="s">
        <v>353</v>
      </c>
      <c r="L284" s="5" t="s">
        <v>1548</v>
      </c>
      <c r="M284" s="5" t="s">
        <v>1549</v>
      </c>
      <c r="N284" s="5" t="s">
        <v>1550</v>
      </c>
      <c r="O284" s="5" t="s">
        <v>38</v>
      </c>
      <c r="P284" s="5" t="s">
        <v>215</v>
      </c>
      <c r="Q284" s="5" t="s">
        <v>1551</v>
      </c>
      <c r="R284" s="4">
        <v>45848</v>
      </c>
      <c r="S284" s="4">
        <v>45453</v>
      </c>
      <c r="T284" s="5" t="str">
        <f>IF(AND(R284="", S284=""), "대기자", IF(AND(R284&lt;&gt;"", S284=""), "취업 중", IF(AND(R284="", S284&lt;&gt;""), "대기자", IF(R284=S284, "", IF(R284 &lt; S284, "대기자", "취업 중")))))</f>
        <v>취업 중</v>
      </c>
      <c r="U284" s="5" t="str">
        <f>IF(J284=""," ",IF(ISNUMBER(SEARCH("소형",J284)),"소형","대형"))</f>
        <v>대형</v>
      </c>
      <c r="V284" s="4">
        <v>41328</v>
      </c>
      <c r="W284" s="5"/>
      <c r="X284" s="5"/>
      <c r="Y284" s="5"/>
      <c r="Z284" s="13" t="s">
        <v>82</v>
      </c>
      <c r="AA284" s="13" t="s">
        <v>70</v>
      </c>
      <c r="AB284" s="13" t="s">
        <v>70</v>
      </c>
      <c r="AC284" s="13" t="s">
        <v>50</v>
      </c>
      <c r="AD284" s="13" t="s">
        <v>50</v>
      </c>
      <c r="AE284" s="15"/>
      <c r="AF284" s="15"/>
      <c r="AG284" s="15" t="s">
        <v>155</v>
      </c>
      <c r="AH284" s="15" t="s">
        <v>1661</v>
      </c>
      <c r="AI284" s="6"/>
    </row>
    <row r="285" spans="1:35" ht="19.899999999999999" customHeight="1" x14ac:dyDescent="0.25">
      <c r="A285" s="5">
        <v>282</v>
      </c>
      <c r="B285" s="5" t="s">
        <v>33</v>
      </c>
      <c r="C285" s="5" t="s">
        <v>1662</v>
      </c>
      <c r="D285" s="5" t="s">
        <v>72</v>
      </c>
      <c r="E285" s="5">
        <v>19690411</v>
      </c>
      <c r="F285" s="5" t="s">
        <v>36</v>
      </c>
      <c r="G285" s="5" t="s">
        <v>1663</v>
      </c>
      <c r="H285" s="5" t="s">
        <v>38</v>
      </c>
      <c r="I285" s="5" t="s">
        <v>1664</v>
      </c>
      <c r="J285" s="5" t="s">
        <v>1665</v>
      </c>
      <c r="K285" s="5" t="s">
        <v>1001</v>
      </c>
      <c r="L285" s="5" t="s">
        <v>1373</v>
      </c>
      <c r="M285" s="5" t="s">
        <v>1666</v>
      </c>
      <c r="N285" s="5"/>
      <c r="O285" s="5" t="s">
        <v>38</v>
      </c>
      <c r="P285" s="5" t="s">
        <v>64</v>
      </c>
      <c r="Q285" s="5" t="s">
        <v>1667</v>
      </c>
      <c r="R285" s="4">
        <v>46203</v>
      </c>
      <c r="S285" s="4">
        <v>45521</v>
      </c>
      <c r="T285" s="5" t="str">
        <f>IF(AND(R285="", S285=""), "대기자", IF(AND(R285&lt;&gt;"", S285=""), "취업 중", IF(AND(R285="", S285&lt;&gt;""), "대기자", IF(R285=S285, "", IF(R285 &lt; S285, "대기자", "취업 중")))))</f>
        <v>취업 중</v>
      </c>
      <c r="U285" s="5" t="str">
        <f>IF(J285=""," ",IF(ISNUMBER(SEARCH("소형",J285)),"소형","대형"))</f>
        <v>대형</v>
      </c>
      <c r="V285" s="4">
        <v>42064</v>
      </c>
      <c r="W285" s="5"/>
      <c r="X285" s="5"/>
      <c r="Y285" s="5"/>
      <c r="Z285" s="13" t="s">
        <v>47</v>
      </c>
      <c r="AA285" s="13" t="s">
        <v>48</v>
      </c>
      <c r="AB285" s="13" t="s">
        <v>49</v>
      </c>
      <c r="AC285" s="13" t="s">
        <v>50</v>
      </c>
      <c r="AD285" s="13" t="s">
        <v>48</v>
      </c>
      <c r="AE285" s="14"/>
      <c r="AF285" s="14"/>
      <c r="AG285" s="14"/>
      <c r="AH285" s="14"/>
      <c r="AI285" s="6"/>
    </row>
    <row r="286" spans="1:35" ht="19.899999999999999" customHeight="1" x14ac:dyDescent="0.25">
      <c r="A286" s="5">
        <v>283</v>
      </c>
      <c r="B286" s="5" t="s">
        <v>33</v>
      </c>
      <c r="C286" s="5" t="s">
        <v>1668</v>
      </c>
      <c r="D286" s="5" t="s">
        <v>56</v>
      </c>
      <c r="E286" s="5">
        <v>19730210</v>
      </c>
      <c r="F286" s="5" t="s">
        <v>36</v>
      </c>
      <c r="G286" s="5" t="s">
        <v>1669</v>
      </c>
      <c r="H286" s="5" t="s">
        <v>38</v>
      </c>
      <c r="I286" s="5" t="s">
        <v>1670</v>
      </c>
      <c r="J286" s="5"/>
      <c r="K286" s="5"/>
      <c r="L286" s="5"/>
      <c r="M286" s="5"/>
      <c r="N286" s="5"/>
      <c r="O286" s="5"/>
      <c r="P286" s="5"/>
      <c r="Q286" s="5"/>
      <c r="R286" s="4">
        <v>45503</v>
      </c>
      <c r="S286" s="4">
        <v>46209</v>
      </c>
      <c r="T286" s="5" t="str">
        <f>IF(AND(R286="", S286=""), "대기자", IF(AND(R286&lt;&gt;"", S286=""), "취업 중", IF(AND(R286="", S286&lt;&gt;""), "대기자", IF(R286=S286, "", IF(R286 &lt; S286, "대기자", "취업 중")))))</f>
        <v>대기자</v>
      </c>
      <c r="U286" s="5" t="str">
        <f>IF(J286=""," ",IF(ISNUMBER(SEARCH("소형",J286)),"소형","대형"))</f>
        <v xml:space="preserve"> </v>
      </c>
      <c r="V286" s="4">
        <v>40087</v>
      </c>
      <c r="W286" s="5"/>
      <c r="X286" s="5"/>
      <c r="Y286" s="5"/>
      <c r="Z286" s="13"/>
      <c r="AA286" s="13"/>
      <c r="AB286" s="13"/>
      <c r="AC286" s="13"/>
      <c r="AD286" s="13"/>
      <c r="AE286" s="15"/>
      <c r="AF286" s="15"/>
      <c r="AG286" s="15" t="s">
        <v>193</v>
      </c>
      <c r="AH286" s="15" t="s">
        <v>1671</v>
      </c>
      <c r="AI286" s="6"/>
    </row>
    <row r="287" spans="1:35" ht="19.899999999999999" customHeight="1" x14ac:dyDescent="0.25">
      <c r="A287" s="5">
        <v>284</v>
      </c>
      <c r="B287" s="5" t="s">
        <v>33</v>
      </c>
      <c r="C287" s="5" t="s">
        <v>1672</v>
      </c>
      <c r="D287" s="5" t="s">
        <v>179</v>
      </c>
      <c r="E287" s="5">
        <v>19681009</v>
      </c>
      <c r="F287" s="5" t="s">
        <v>36</v>
      </c>
      <c r="G287" s="5" t="s">
        <v>1673</v>
      </c>
      <c r="H287" s="5" t="s">
        <v>38</v>
      </c>
      <c r="I287" s="5" t="s">
        <v>1674</v>
      </c>
      <c r="J287" s="5" t="s">
        <v>75</v>
      </c>
      <c r="K287" s="5" t="s">
        <v>321</v>
      </c>
      <c r="L287" s="5" t="s">
        <v>322</v>
      </c>
      <c r="M287" s="5" t="s">
        <v>323</v>
      </c>
      <c r="N287" s="5" t="s">
        <v>1675</v>
      </c>
      <c r="O287" s="5" t="s">
        <v>38</v>
      </c>
      <c r="P287" s="5" t="s">
        <v>64</v>
      </c>
      <c r="Q287" s="5" t="s">
        <v>325</v>
      </c>
      <c r="R287" s="4">
        <v>45779</v>
      </c>
      <c r="S287" s="4">
        <v>45339</v>
      </c>
      <c r="T287" s="5" t="str">
        <f>IF(AND(R287="", S287=""), "대기자", IF(AND(R287&lt;&gt;"", S287=""), "취업 중", IF(AND(R287="", S287&lt;&gt;""), "대기자", IF(R287=S287, "", IF(R287 &lt; S287, "대기자", "취업 중")))))</f>
        <v>취업 중</v>
      </c>
      <c r="U287" s="5" t="str">
        <f>IF(J287=""," ",IF(ISNUMBER(SEARCH("소형",J287)),"소형","대형"))</f>
        <v>대형</v>
      </c>
      <c r="V287" s="4">
        <v>42774</v>
      </c>
      <c r="W287" s="5"/>
      <c r="X287" s="5"/>
      <c r="Y287" s="5"/>
      <c r="Z287" s="13" t="s">
        <v>94</v>
      </c>
      <c r="AA287" s="13" t="s">
        <v>49</v>
      </c>
      <c r="AB287" s="13" t="s">
        <v>49</v>
      </c>
      <c r="AC287" s="13" t="s">
        <v>50</v>
      </c>
      <c r="AD287" s="13" t="s">
        <v>48</v>
      </c>
      <c r="AE287" s="14" t="s">
        <v>182</v>
      </c>
      <c r="AF287" s="14" t="s">
        <v>183</v>
      </c>
      <c r="AG287" s="14" t="s">
        <v>83</v>
      </c>
      <c r="AH287" s="14" t="s">
        <v>1676</v>
      </c>
      <c r="AI287" s="6"/>
    </row>
    <row r="288" spans="1:35" ht="19.899999999999999" customHeight="1" x14ac:dyDescent="0.25">
      <c r="A288" s="5">
        <v>285</v>
      </c>
      <c r="B288" s="5" t="s">
        <v>33</v>
      </c>
      <c r="C288" s="5" t="s">
        <v>1677</v>
      </c>
      <c r="D288" s="5" t="s">
        <v>56</v>
      </c>
      <c r="E288" s="5">
        <v>19770822</v>
      </c>
      <c r="F288" s="5" t="s">
        <v>36</v>
      </c>
      <c r="G288" s="5" t="s">
        <v>1678</v>
      </c>
      <c r="H288" s="5" t="s">
        <v>38</v>
      </c>
      <c r="I288" s="5" t="s">
        <v>1679</v>
      </c>
      <c r="J288" s="5"/>
      <c r="K288" s="5"/>
      <c r="L288" s="5"/>
      <c r="M288" s="5"/>
      <c r="N288" s="5"/>
      <c r="O288" s="5"/>
      <c r="P288" s="5"/>
      <c r="Q288" s="5"/>
      <c r="R288" s="4">
        <v>45674</v>
      </c>
      <c r="S288" s="4">
        <v>46085</v>
      </c>
      <c r="T288" s="5" t="str">
        <f>IF(AND(R288="", S288=""), "대기자", IF(AND(R288&lt;&gt;"", S288=""), "취업 중", IF(AND(R288="", S288&lt;&gt;""), "대기자", IF(R288=S288, "", IF(R288 &lt; S288, "대기자", "취업 중")))))</f>
        <v>대기자</v>
      </c>
      <c r="U288" s="5" t="str">
        <f>IF(J288=""," ",IF(ISNUMBER(SEARCH("소형",J288)),"소형","대형"))</f>
        <v xml:space="preserve"> </v>
      </c>
      <c r="V288" s="4">
        <v>39965</v>
      </c>
      <c r="W288" s="5"/>
      <c r="X288" s="5"/>
      <c r="Y288" s="5"/>
      <c r="Z288" s="13"/>
      <c r="AA288" s="13"/>
      <c r="AB288" s="13"/>
      <c r="AC288" s="13"/>
      <c r="AD288" s="13"/>
      <c r="AE288" s="15"/>
      <c r="AF288" s="15"/>
      <c r="AG288" s="15"/>
      <c r="AH288" s="15"/>
      <c r="AI288" s="6"/>
    </row>
    <row r="289" spans="1:35" ht="19.899999999999999" customHeight="1" x14ac:dyDescent="0.25">
      <c r="A289" s="5">
        <v>286</v>
      </c>
      <c r="B289" s="5" t="s">
        <v>33</v>
      </c>
      <c r="C289" s="5" t="s">
        <v>1680</v>
      </c>
      <c r="D289" s="5" t="s">
        <v>285</v>
      </c>
      <c r="E289" s="5">
        <v>19840102</v>
      </c>
      <c r="F289" s="5" t="s">
        <v>36</v>
      </c>
      <c r="G289" s="5" t="s">
        <v>1681</v>
      </c>
      <c r="H289" s="5" t="s">
        <v>38</v>
      </c>
      <c r="I289" s="5" t="s">
        <v>1682</v>
      </c>
      <c r="J289" s="5" t="s">
        <v>59</v>
      </c>
      <c r="K289" s="5" t="s">
        <v>112</v>
      </c>
      <c r="L289" s="5" t="s">
        <v>694</v>
      </c>
      <c r="M289" s="5" t="s">
        <v>62</v>
      </c>
      <c r="N289" s="5" t="s">
        <v>63</v>
      </c>
      <c r="O289" s="5" t="s">
        <v>38</v>
      </c>
      <c r="P289" s="5" t="s">
        <v>64</v>
      </c>
      <c r="Q289" s="5" t="s">
        <v>65</v>
      </c>
      <c r="R289" s="4">
        <v>46286</v>
      </c>
      <c r="S289" s="4">
        <v>46242</v>
      </c>
      <c r="T289" s="5" t="str">
        <f>IF(AND(R289="", S289=""), "대기자", IF(AND(R289&lt;&gt;"", S289=""), "취업 중", IF(AND(R289="", S289&lt;&gt;""), "대기자", IF(R289=S289, "", IF(R289 &lt; S289, "대기자", "취업 중")))))</f>
        <v>취업 중</v>
      </c>
      <c r="U289" s="5" t="str">
        <f>IF(J289=""," ",IF(ISNUMBER(SEARCH("소형",J289)),"소형","대형"))</f>
        <v>대형</v>
      </c>
      <c r="V289" s="4">
        <v>45627</v>
      </c>
      <c r="W289" s="5"/>
      <c r="X289" s="5"/>
      <c r="Y289" s="5"/>
      <c r="Z289" s="13"/>
      <c r="AA289" s="13"/>
      <c r="AB289" s="13"/>
      <c r="AC289" s="13"/>
      <c r="AD289" s="13"/>
      <c r="AE289" s="14"/>
      <c r="AF289" s="14"/>
      <c r="AG289" s="14"/>
      <c r="AH289" s="14"/>
      <c r="AI289" s="6"/>
    </row>
    <row r="290" spans="1:35" ht="19.899999999999999" customHeight="1" x14ac:dyDescent="0.25">
      <c r="A290" s="5">
        <v>287</v>
      </c>
      <c r="B290" s="5" t="s">
        <v>33</v>
      </c>
      <c r="C290" s="5" t="s">
        <v>1683</v>
      </c>
      <c r="D290" s="5" t="s">
        <v>144</v>
      </c>
      <c r="E290" s="5">
        <v>19940607</v>
      </c>
      <c r="F290" s="5" t="s">
        <v>36</v>
      </c>
      <c r="G290" s="5" t="s">
        <v>1684</v>
      </c>
      <c r="H290" s="5" t="s">
        <v>38</v>
      </c>
      <c r="I290" s="5" t="s">
        <v>1685</v>
      </c>
      <c r="J290" s="5"/>
      <c r="K290" s="5"/>
      <c r="L290" s="5"/>
      <c r="M290" s="5"/>
      <c r="N290" s="5"/>
      <c r="O290" s="5"/>
      <c r="P290" s="5"/>
      <c r="Q290" s="5"/>
      <c r="R290" s="4">
        <v>45813</v>
      </c>
      <c r="S290" s="4">
        <v>46154</v>
      </c>
      <c r="T290" s="5" t="str">
        <f>IF(AND(R290="", S290=""), "대기자", IF(AND(R290&lt;&gt;"", S290=""), "취업 중", IF(AND(R290="", S290&lt;&gt;""), "대기자", IF(R290=S290, "", IF(R290 &lt; S290, "대기자", "취업 중")))))</f>
        <v>대기자</v>
      </c>
      <c r="U290" s="5" t="str">
        <f>IF(J290=""," ",IF(ISNUMBER(SEARCH("소형",J290)),"소형","대형"))</f>
        <v xml:space="preserve"> </v>
      </c>
      <c r="V290" s="4">
        <v>45627</v>
      </c>
      <c r="W290" s="5"/>
      <c r="X290" s="5"/>
      <c r="Y290" s="5"/>
      <c r="Z290" s="13"/>
      <c r="AA290" s="13"/>
      <c r="AB290" s="13"/>
      <c r="AC290" s="13"/>
      <c r="AD290" s="13"/>
      <c r="AE290" s="15"/>
      <c r="AF290" s="15"/>
      <c r="AG290" s="15"/>
      <c r="AH290" s="15"/>
      <c r="AI290" s="6"/>
    </row>
    <row r="291" spans="1:35" ht="19.899999999999999" customHeight="1" x14ac:dyDescent="0.25">
      <c r="A291" s="5">
        <v>288</v>
      </c>
      <c r="B291" s="5" t="s">
        <v>33</v>
      </c>
      <c r="C291" s="5" t="s">
        <v>1686</v>
      </c>
      <c r="D291" s="5" t="s">
        <v>99</v>
      </c>
      <c r="E291" s="5">
        <v>19691224</v>
      </c>
      <c r="F291" s="5" t="s">
        <v>36</v>
      </c>
      <c r="G291" s="5" t="s">
        <v>1687</v>
      </c>
      <c r="H291" s="5" t="s">
        <v>38</v>
      </c>
      <c r="I291" s="5" t="s">
        <v>1688</v>
      </c>
      <c r="J291" s="5" t="s">
        <v>102</v>
      </c>
      <c r="K291" s="5" t="s">
        <v>102</v>
      </c>
      <c r="L291" s="5" t="s">
        <v>1689</v>
      </c>
      <c r="M291" s="5" t="s">
        <v>1690</v>
      </c>
      <c r="N291" s="5" t="s">
        <v>1691</v>
      </c>
      <c r="O291" s="5" t="s">
        <v>38</v>
      </c>
      <c r="P291" s="5" t="s">
        <v>64</v>
      </c>
      <c r="Q291" s="5" t="s">
        <v>1692</v>
      </c>
      <c r="R291" s="4">
        <v>46183</v>
      </c>
      <c r="S291" s="4">
        <v>46151</v>
      </c>
      <c r="T291" s="5" t="str">
        <f>IF(AND(R291="", S291=""), "대기자", IF(AND(R291&lt;&gt;"", S291=""), "취업 중", IF(AND(R291="", S291&lt;&gt;""), "대기자", IF(R291=S291, "", IF(R291 &lt; S291, "대기자", "취업 중")))))</f>
        <v>취업 중</v>
      </c>
      <c r="U291" s="5" t="str">
        <f>IF(J291=""," ",IF(ISNUMBER(SEARCH("소형",J291)),"소형","대형"))</f>
        <v>소형</v>
      </c>
      <c r="V291" s="4">
        <v>42452</v>
      </c>
      <c r="W291" s="5"/>
      <c r="X291" s="5" t="s">
        <v>1693</v>
      </c>
      <c r="Y291" s="5" t="s">
        <v>1694</v>
      </c>
      <c r="Z291" s="13"/>
      <c r="AA291" s="13"/>
      <c r="AB291" s="13"/>
      <c r="AC291" s="13"/>
      <c r="AD291" s="13"/>
      <c r="AE291" s="14"/>
      <c r="AF291" s="14"/>
      <c r="AG291" s="14"/>
      <c r="AH291" s="14"/>
      <c r="AI291" s="6"/>
    </row>
    <row r="292" spans="1:35" ht="19.899999999999999" customHeight="1" x14ac:dyDescent="0.25">
      <c r="A292" s="5">
        <v>289</v>
      </c>
      <c r="B292" s="5" t="s">
        <v>33</v>
      </c>
      <c r="C292" s="5" t="s">
        <v>1695</v>
      </c>
      <c r="D292" s="5" t="s">
        <v>67</v>
      </c>
      <c r="E292" s="5">
        <v>19801210</v>
      </c>
      <c r="F292" s="5" t="s">
        <v>36</v>
      </c>
      <c r="G292" s="5" t="s">
        <v>1696</v>
      </c>
      <c r="H292" s="5" t="s">
        <v>38</v>
      </c>
      <c r="I292" s="5" t="s">
        <v>1697</v>
      </c>
      <c r="J292" s="5"/>
      <c r="K292" s="5"/>
      <c r="L292" s="5"/>
      <c r="M292" s="5"/>
      <c r="N292" s="5"/>
      <c r="O292" s="5"/>
      <c r="P292" s="5"/>
      <c r="Q292" s="5"/>
      <c r="R292" s="4">
        <v>45915</v>
      </c>
      <c r="S292" s="4">
        <v>46052</v>
      </c>
      <c r="T292" s="5" t="str">
        <f>IF(AND(R292="", S292=""), "대기자", IF(AND(R292&lt;&gt;"", S292=""), "취업 중", IF(AND(R292="", S292&lt;&gt;""), "대기자", IF(R292=S292, "", IF(R292 &lt; S292, "대기자", "취업 중")))))</f>
        <v>대기자</v>
      </c>
      <c r="U292" s="5" t="str">
        <f>IF(J292=""," ",IF(ISNUMBER(SEARCH("소형",J292)),"소형","대형"))</f>
        <v xml:space="preserve"> </v>
      </c>
      <c r="V292" s="4">
        <v>45627</v>
      </c>
      <c r="W292" s="5"/>
      <c r="X292" s="5"/>
      <c r="Y292" s="5"/>
      <c r="Z292" s="13"/>
      <c r="AA292" s="13"/>
      <c r="AB292" s="13"/>
      <c r="AC292" s="13"/>
      <c r="AD292" s="13"/>
      <c r="AE292" s="15"/>
      <c r="AF292" s="15"/>
      <c r="AG292" s="15"/>
      <c r="AH292" s="15"/>
      <c r="AI292" s="6"/>
    </row>
    <row r="293" spans="1:35" ht="19.899999999999999" customHeight="1" x14ac:dyDescent="0.25">
      <c r="A293" s="5">
        <v>290</v>
      </c>
      <c r="B293" s="5" t="s">
        <v>33</v>
      </c>
      <c r="C293" s="5" t="s">
        <v>1698</v>
      </c>
      <c r="D293" s="5" t="s">
        <v>526</v>
      </c>
      <c r="E293" s="5">
        <v>19840531</v>
      </c>
      <c r="F293" s="5" t="s">
        <v>36</v>
      </c>
      <c r="G293" s="5" t="s">
        <v>1699</v>
      </c>
      <c r="H293" s="5" t="s">
        <v>38</v>
      </c>
      <c r="I293" s="5" t="s">
        <v>1700</v>
      </c>
      <c r="J293" s="5" t="s">
        <v>494</v>
      </c>
      <c r="K293" s="5" t="s">
        <v>1701</v>
      </c>
      <c r="L293" s="5" t="s">
        <v>979</v>
      </c>
      <c r="M293" s="5" t="s">
        <v>1702</v>
      </c>
      <c r="N293" s="5" t="s">
        <v>1703</v>
      </c>
      <c r="O293" s="5" t="s">
        <v>38</v>
      </c>
      <c r="P293" s="5" t="s">
        <v>64</v>
      </c>
      <c r="Q293" s="5" t="s">
        <v>982</v>
      </c>
      <c r="R293" s="4">
        <v>45940</v>
      </c>
      <c r="S293" s="4">
        <v>45401</v>
      </c>
      <c r="T293" s="5" t="str">
        <f>IF(AND(R293="", S293=""), "대기자", IF(AND(R293&lt;&gt;"", S293=""), "취업 중", IF(AND(R293="", S293&lt;&gt;""), "대기자", IF(R293=S293, "", IF(R293 &lt; S293, "대기자", "취업 중")))))</f>
        <v>취업 중</v>
      </c>
      <c r="U293" s="5" t="str">
        <f>IF(J293=""," ",IF(ISNUMBER(SEARCH("소형",J293)),"소형","대형"))</f>
        <v>대형</v>
      </c>
      <c r="V293" s="4">
        <v>43712</v>
      </c>
      <c r="W293" s="5"/>
      <c r="X293" s="5"/>
      <c r="Y293" s="5"/>
      <c r="Z293" s="13" t="s">
        <v>70</v>
      </c>
      <c r="AA293" s="13" t="s">
        <v>48</v>
      </c>
      <c r="AB293" s="13" t="s">
        <v>48</v>
      </c>
      <c r="AC293" s="13" t="s">
        <v>50</v>
      </c>
      <c r="AD293" s="13" t="s">
        <v>48</v>
      </c>
      <c r="AE293" s="14"/>
      <c r="AF293" s="14"/>
      <c r="AG293" s="14" t="s">
        <v>184</v>
      </c>
      <c r="AH293" s="14" t="s">
        <v>1704</v>
      </c>
      <c r="AI293" s="6"/>
    </row>
    <row r="294" spans="1:35" ht="19.899999999999999" customHeight="1" x14ac:dyDescent="0.25">
      <c r="A294" s="5">
        <v>291</v>
      </c>
      <c r="B294" s="5" t="s">
        <v>33</v>
      </c>
      <c r="C294" s="5" t="s">
        <v>1705</v>
      </c>
      <c r="D294" s="5" t="s">
        <v>285</v>
      </c>
      <c r="E294" s="5">
        <v>19700909</v>
      </c>
      <c r="F294" s="5" t="s">
        <v>52</v>
      </c>
      <c r="G294" s="5" t="s">
        <v>1706</v>
      </c>
      <c r="H294" s="5" t="s">
        <v>38</v>
      </c>
      <c r="I294" s="5" t="s">
        <v>1707</v>
      </c>
      <c r="J294" s="5" t="s">
        <v>87</v>
      </c>
      <c r="K294" s="5" t="s">
        <v>236</v>
      </c>
      <c r="L294" s="5" t="s">
        <v>1708</v>
      </c>
      <c r="M294" s="5" t="s">
        <v>1709</v>
      </c>
      <c r="N294" s="5" t="s">
        <v>1710</v>
      </c>
      <c r="O294" s="5" t="s">
        <v>38</v>
      </c>
      <c r="P294" s="5" t="s">
        <v>80</v>
      </c>
      <c r="Q294" s="5" t="s">
        <v>1711</v>
      </c>
      <c r="R294" s="4">
        <v>46248</v>
      </c>
      <c r="S294" s="4">
        <v>45822</v>
      </c>
      <c r="T294" s="5" t="str">
        <f>IF(AND(R294="", S294=""), "대기자", IF(AND(R294&lt;&gt;"", S294=""), "취업 중", IF(AND(R294="", S294&lt;&gt;""), "대기자", IF(R294=S294, "", IF(R294 &lt; S294, "대기자", "취업 중")))))</f>
        <v>취업 중</v>
      </c>
      <c r="U294" s="5" t="str">
        <f>IF(J294=""," ",IF(ISNUMBER(SEARCH("소형",J294)),"소형","대형"))</f>
        <v>대형</v>
      </c>
      <c r="V294" s="4">
        <v>42603</v>
      </c>
      <c r="W294" s="5"/>
      <c r="X294" s="5"/>
      <c r="Y294" s="5"/>
      <c r="Z294" s="13">
        <v>2</v>
      </c>
      <c r="AA294" s="13">
        <v>1</v>
      </c>
      <c r="AB294" s="13">
        <v>1</v>
      </c>
      <c r="AC294" s="13">
        <v>0</v>
      </c>
      <c r="AD294" s="13">
        <v>0</v>
      </c>
      <c r="AE294" s="15"/>
      <c r="AF294" s="15"/>
      <c r="AG294" s="15"/>
      <c r="AH294" s="15"/>
      <c r="AI294" s="6"/>
    </row>
    <row r="295" spans="1:35" ht="19.899999999999999" customHeight="1" x14ac:dyDescent="0.25">
      <c r="A295" s="5">
        <v>292</v>
      </c>
      <c r="B295" s="5" t="s">
        <v>33</v>
      </c>
      <c r="C295" s="5" t="s">
        <v>1712</v>
      </c>
      <c r="D295" s="5" t="s">
        <v>72</v>
      </c>
      <c r="E295" s="5">
        <v>19691203</v>
      </c>
      <c r="F295" s="5" t="s">
        <v>36</v>
      </c>
      <c r="G295" s="5" t="s">
        <v>1713</v>
      </c>
      <c r="H295" s="5" t="s">
        <v>38</v>
      </c>
      <c r="I295" s="5" t="s">
        <v>1714</v>
      </c>
      <c r="J295" s="5" t="s">
        <v>59</v>
      </c>
      <c r="K295" s="5" t="s">
        <v>253</v>
      </c>
      <c r="L295" s="5" t="s">
        <v>1715</v>
      </c>
      <c r="M295" s="5" t="s">
        <v>1716</v>
      </c>
      <c r="N295" s="5" t="s">
        <v>1717</v>
      </c>
      <c r="O295" s="5" t="s">
        <v>38</v>
      </c>
      <c r="P295" s="5" t="s">
        <v>132</v>
      </c>
      <c r="Q295" s="5" t="s">
        <v>1718</v>
      </c>
      <c r="R295" s="4">
        <v>45793</v>
      </c>
      <c r="S295" s="4">
        <v>45370</v>
      </c>
      <c r="T295" s="5" t="str">
        <f>IF(AND(R295="", S295=""), "대기자", IF(AND(R295&lt;&gt;"", S295=""), "취업 중", IF(AND(R295="", S295&lt;&gt;""), "대기자", IF(R295=S295, "", IF(R295 &lt; S295, "대기자", "취업 중")))))</f>
        <v>취업 중</v>
      </c>
      <c r="U295" s="5" t="str">
        <f>IF(J295=""," ",IF(ISNUMBER(SEARCH("소형",J295)),"소형","대형"))</f>
        <v>대형</v>
      </c>
      <c r="V295" s="4">
        <v>42177</v>
      </c>
      <c r="W295" s="5"/>
      <c r="X295" s="5"/>
      <c r="Y295" s="5"/>
      <c r="Z295" s="13" t="s">
        <v>82</v>
      </c>
      <c r="AA295" s="13" t="s">
        <v>49</v>
      </c>
      <c r="AB295" s="13" t="s">
        <v>49</v>
      </c>
      <c r="AC295" s="13" t="s">
        <v>49</v>
      </c>
      <c r="AD295" s="13" t="s">
        <v>50</v>
      </c>
      <c r="AE295" s="14"/>
      <c r="AF295" s="14"/>
      <c r="AG295" s="14" t="s">
        <v>184</v>
      </c>
      <c r="AH295" s="14" t="s">
        <v>1719</v>
      </c>
      <c r="AI295" s="6"/>
    </row>
    <row r="296" spans="1:35" ht="19.899999999999999" customHeight="1" x14ac:dyDescent="0.25">
      <c r="A296" s="5">
        <v>293</v>
      </c>
      <c r="B296" s="5" t="s">
        <v>33</v>
      </c>
      <c r="C296" s="5" t="s">
        <v>1720</v>
      </c>
      <c r="D296" s="5" t="s">
        <v>56</v>
      </c>
      <c r="E296" s="5">
        <v>19701214</v>
      </c>
      <c r="F296" s="5" t="s">
        <v>36</v>
      </c>
      <c r="G296" s="5" t="s">
        <v>1721</v>
      </c>
      <c r="H296" s="5" t="s">
        <v>38</v>
      </c>
      <c r="I296" s="5" t="s">
        <v>1722</v>
      </c>
      <c r="J296" s="5"/>
      <c r="K296" s="5"/>
      <c r="L296" s="5"/>
      <c r="M296" s="5"/>
      <c r="N296" s="5"/>
      <c r="O296" s="5"/>
      <c r="P296" s="5"/>
      <c r="Q296" s="5"/>
      <c r="R296" s="4">
        <v>46020</v>
      </c>
      <c r="S296" s="4">
        <v>46280</v>
      </c>
      <c r="T296" s="5" t="str">
        <f>IF(AND(R296="", S296=""), "대기자", IF(AND(R296&lt;&gt;"", S296=""), "취업 중", IF(AND(R296="", S296&lt;&gt;""), "대기자", IF(R296=S296, "", IF(R296 &lt; S296, "대기자", "취업 중")))))</f>
        <v>대기자</v>
      </c>
      <c r="U296" s="5" t="str">
        <f>IF(J296=""," ",IF(ISNUMBER(SEARCH("소형",J296)),"소형","대형"))</f>
        <v xml:space="preserve"> </v>
      </c>
      <c r="V296" s="4">
        <v>42114</v>
      </c>
      <c r="W296" s="5"/>
      <c r="X296" s="5"/>
      <c r="Y296" s="5"/>
      <c r="Z296" s="13"/>
      <c r="AA296" s="13"/>
      <c r="AB296" s="13"/>
      <c r="AC296" s="13"/>
      <c r="AD296" s="13"/>
      <c r="AE296" s="15"/>
      <c r="AF296" s="15"/>
      <c r="AG296" s="15" t="s">
        <v>184</v>
      </c>
      <c r="AH296" s="15" t="s">
        <v>1723</v>
      </c>
      <c r="AI296" s="6"/>
    </row>
    <row r="297" spans="1:35" ht="19.899999999999999" customHeight="1" x14ac:dyDescent="0.25">
      <c r="A297" s="5">
        <v>294</v>
      </c>
      <c r="B297" s="5" t="s">
        <v>33</v>
      </c>
      <c r="C297" s="5" t="s">
        <v>1724</v>
      </c>
      <c r="D297" s="5" t="s">
        <v>56</v>
      </c>
      <c r="E297" s="5">
        <v>19670424</v>
      </c>
      <c r="F297" s="5" t="s">
        <v>36</v>
      </c>
      <c r="G297" s="5" t="s">
        <v>1725</v>
      </c>
      <c r="H297" s="5" t="s">
        <v>38</v>
      </c>
      <c r="I297" s="5" t="s">
        <v>1726</v>
      </c>
      <c r="J297" s="5" t="s">
        <v>59</v>
      </c>
      <c r="K297" s="5" t="s">
        <v>60</v>
      </c>
      <c r="L297" s="5" t="s">
        <v>61</v>
      </c>
      <c r="M297" s="5" t="s">
        <v>62</v>
      </c>
      <c r="N297" s="5" t="s">
        <v>63</v>
      </c>
      <c r="O297" s="5" t="s">
        <v>38</v>
      </c>
      <c r="P297" s="5" t="s">
        <v>64</v>
      </c>
      <c r="Q297" s="5" t="s">
        <v>65</v>
      </c>
      <c r="R297" s="4">
        <v>46135</v>
      </c>
      <c r="S297" s="4">
        <v>45965</v>
      </c>
      <c r="T297" s="5" t="str">
        <f>IF(AND(R297="", S297=""), "대기자", IF(AND(R297&lt;&gt;"", S297=""), "취업 중", IF(AND(R297="", S297&lt;&gt;""), "대기자", IF(R297=S297, "", IF(R297 &lt; S297, "대기자", "취업 중")))))</f>
        <v>취업 중</v>
      </c>
      <c r="U297" s="5" t="str">
        <f>IF(J297=""," ",IF(ISNUMBER(SEARCH("소형",J297)),"소형","대형"))</f>
        <v>대형</v>
      </c>
      <c r="V297" s="4">
        <v>40273</v>
      </c>
      <c r="W297" s="5"/>
      <c r="X297" s="5"/>
      <c r="Y297" s="5"/>
      <c r="Z297" s="13">
        <v>27</v>
      </c>
      <c r="AA297" s="13">
        <v>12</v>
      </c>
      <c r="AB297" s="13">
        <v>12</v>
      </c>
      <c r="AC297" s="13">
        <v>1</v>
      </c>
      <c r="AD297" s="13">
        <v>2</v>
      </c>
      <c r="AE297" s="14"/>
      <c r="AF297" s="14"/>
      <c r="AG297" s="14" t="s">
        <v>83</v>
      </c>
      <c r="AH297" s="14" t="s">
        <v>1727</v>
      </c>
      <c r="AI297" s="6"/>
    </row>
    <row r="298" spans="1:35" ht="19.899999999999999" customHeight="1" x14ac:dyDescent="0.25">
      <c r="A298" s="5">
        <v>295</v>
      </c>
      <c r="B298" s="5" t="s">
        <v>33</v>
      </c>
      <c r="C298" s="5" t="s">
        <v>1728</v>
      </c>
      <c r="D298" s="5" t="s">
        <v>56</v>
      </c>
      <c r="E298" s="5">
        <v>19900426</v>
      </c>
      <c r="F298" s="5" t="s">
        <v>36</v>
      </c>
      <c r="G298" s="5" t="s">
        <v>1729</v>
      </c>
      <c r="H298" s="5" t="s">
        <v>38</v>
      </c>
      <c r="I298" s="5" t="s">
        <v>1730</v>
      </c>
      <c r="J298" s="5" t="s">
        <v>494</v>
      </c>
      <c r="K298" s="5" t="s">
        <v>353</v>
      </c>
      <c r="L298" s="5" t="s">
        <v>610</v>
      </c>
      <c r="M298" s="5" t="s">
        <v>611</v>
      </c>
      <c r="N298" s="5" t="s">
        <v>612</v>
      </c>
      <c r="O298" s="5" t="s">
        <v>38</v>
      </c>
      <c r="P298" s="5" t="s">
        <v>215</v>
      </c>
      <c r="Q298" s="5" t="s">
        <v>613</v>
      </c>
      <c r="R298" s="4">
        <v>46027</v>
      </c>
      <c r="S298" s="4">
        <v>45748</v>
      </c>
      <c r="T298" s="5" t="str">
        <f>IF(AND(R298="", S298=""), "대기자", IF(AND(R298&lt;&gt;"", S298=""), "취업 중", IF(AND(R298="", S298&lt;&gt;""), "대기자", IF(R298=S298, "", IF(R298 &lt; S298, "대기자", "취업 중")))))</f>
        <v>취업 중</v>
      </c>
      <c r="U298" s="5" t="str">
        <f>IF(J298=""," ",IF(ISNUMBER(SEARCH("소형",J298)),"소형","대형"))</f>
        <v>대형</v>
      </c>
      <c r="V298" s="4">
        <v>44564</v>
      </c>
      <c r="W298" s="5"/>
      <c r="X298" s="5"/>
      <c r="Y298" s="5"/>
      <c r="Z298" s="13" t="s">
        <v>123</v>
      </c>
      <c r="AA298" s="13" t="s">
        <v>49</v>
      </c>
      <c r="AB298" s="13" t="s">
        <v>47</v>
      </c>
      <c r="AC298" s="13" t="s">
        <v>48</v>
      </c>
      <c r="AD298" s="13" t="s">
        <v>48</v>
      </c>
      <c r="AE298" s="15"/>
      <c r="AF298" s="15"/>
      <c r="AG298" s="15" t="s">
        <v>184</v>
      </c>
      <c r="AH298" s="15" t="s">
        <v>1731</v>
      </c>
      <c r="AI298" s="6"/>
    </row>
    <row r="299" spans="1:35" ht="19.899999999999999" customHeight="1" x14ac:dyDescent="0.25">
      <c r="A299" s="5">
        <v>296</v>
      </c>
      <c r="B299" s="5" t="s">
        <v>33</v>
      </c>
      <c r="C299" s="5" t="s">
        <v>1732</v>
      </c>
      <c r="D299" s="5" t="s">
        <v>72</v>
      </c>
      <c r="E299" s="5">
        <v>19820620</v>
      </c>
      <c r="F299" s="5" t="s">
        <v>36</v>
      </c>
      <c r="G299" s="5" t="s">
        <v>1733</v>
      </c>
      <c r="H299" s="5" t="s">
        <v>38</v>
      </c>
      <c r="I299" s="5" t="s">
        <v>1734</v>
      </c>
      <c r="J299" s="5" t="s">
        <v>1121</v>
      </c>
      <c r="K299" s="5" t="s">
        <v>599</v>
      </c>
      <c r="L299" s="5" t="s">
        <v>1622</v>
      </c>
      <c r="M299" s="5" t="s">
        <v>1623</v>
      </c>
      <c r="N299" s="5" t="s">
        <v>1624</v>
      </c>
      <c r="O299" s="5" t="s">
        <v>38</v>
      </c>
      <c r="P299" s="5" t="s">
        <v>64</v>
      </c>
      <c r="Q299" s="5" t="s">
        <v>1625</v>
      </c>
      <c r="R299" s="4">
        <v>45923</v>
      </c>
      <c r="S299" s="4">
        <v>45702</v>
      </c>
      <c r="T299" s="5" t="str">
        <f>IF(AND(R299="", S299=""), "대기자", IF(AND(R299&lt;&gt;"", S299=""), "취업 중", IF(AND(R299="", S299&lt;&gt;""), "대기자", IF(R299=S299, "", IF(R299 &lt; S299, "대기자", "취업 중")))))</f>
        <v>취업 중</v>
      </c>
      <c r="U299" s="5" t="str">
        <f>IF(J299=""," ",IF(ISNUMBER(SEARCH("소형",J299)),"소형","대형"))</f>
        <v>대형</v>
      </c>
      <c r="V299" s="4">
        <v>41983</v>
      </c>
      <c r="W299" s="5">
        <v>44292</v>
      </c>
      <c r="X299" s="5"/>
      <c r="Y299" s="5"/>
      <c r="Z299" s="13" t="s">
        <v>49</v>
      </c>
      <c r="AA299" s="13" t="s">
        <v>49</v>
      </c>
      <c r="AB299" s="13" t="s">
        <v>50</v>
      </c>
      <c r="AC299" s="13" t="s">
        <v>50</v>
      </c>
      <c r="AD299" s="13" t="s">
        <v>50</v>
      </c>
      <c r="AE299" s="14"/>
      <c r="AF299" s="14"/>
      <c r="AG299" s="14" t="s">
        <v>117</v>
      </c>
      <c r="AH299" s="14" t="s">
        <v>1735</v>
      </c>
      <c r="AI299" s="6"/>
    </row>
    <row r="300" spans="1:35" ht="19.899999999999999" customHeight="1" x14ac:dyDescent="0.25">
      <c r="A300" s="5">
        <v>297</v>
      </c>
      <c r="B300" s="5" t="s">
        <v>33</v>
      </c>
      <c r="C300" s="5" t="s">
        <v>1736</v>
      </c>
      <c r="D300" s="5" t="s">
        <v>144</v>
      </c>
      <c r="E300" s="5">
        <v>19750306</v>
      </c>
      <c r="F300" s="5" t="s">
        <v>52</v>
      </c>
      <c r="G300" s="5" t="s">
        <v>1737</v>
      </c>
      <c r="H300" s="5" t="s">
        <v>38</v>
      </c>
      <c r="I300" s="5" t="s">
        <v>1738</v>
      </c>
      <c r="J300" s="5" t="s">
        <v>102</v>
      </c>
      <c r="K300" s="5" t="s">
        <v>102</v>
      </c>
      <c r="L300" s="5" t="s">
        <v>1739</v>
      </c>
      <c r="M300" s="5" t="s">
        <v>1740</v>
      </c>
      <c r="N300" s="5" t="s">
        <v>1741</v>
      </c>
      <c r="O300" s="5" t="s">
        <v>38</v>
      </c>
      <c r="P300" s="5" t="s">
        <v>215</v>
      </c>
      <c r="Q300" s="5" t="s">
        <v>1742</v>
      </c>
      <c r="R300" s="4">
        <v>46224</v>
      </c>
      <c r="S300" s="4">
        <v>45968</v>
      </c>
      <c r="T300" s="5" t="str">
        <f>IF(AND(R300="", S300=""), "대기자", IF(AND(R300&lt;&gt;"", S300=""), "취업 중", IF(AND(R300="", S300&lt;&gt;""), "대기자", IF(R300=S300, "", IF(R300 &lt; S300, "대기자", "취업 중")))))</f>
        <v>취업 중</v>
      </c>
      <c r="U300" s="5" t="str">
        <f>IF(J300=""," ",IF(ISNUMBER(SEARCH("소형",J300)),"소형","대형"))</f>
        <v>소형</v>
      </c>
      <c r="V300" s="4">
        <v>45972</v>
      </c>
      <c r="W300" s="4"/>
      <c r="X300" s="5" t="s">
        <v>1693</v>
      </c>
      <c r="Y300" s="5" t="s">
        <v>1743</v>
      </c>
      <c r="Z300" s="13"/>
      <c r="AA300" s="13"/>
      <c r="AB300" s="13"/>
      <c r="AC300" s="13"/>
      <c r="AD300" s="13"/>
      <c r="AE300" s="15"/>
      <c r="AF300" s="15"/>
      <c r="AG300" s="15"/>
      <c r="AH300" s="15"/>
      <c r="AI300" s="6"/>
    </row>
    <row r="301" spans="1:35" ht="19.899999999999999" customHeight="1" x14ac:dyDescent="0.25">
      <c r="A301" s="5">
        <v>298</v>
      </c>
      <c r="B301" s="5" t="s">
        <v>33</v>
      </c>
      <c r="C301" s="5" t="s">
        <v>1744</v>
      </c>
      <c r="D301" s="5" t="s">
        <v>526</v>
      </c>
      <c r="E301" s="5">
        <v>19880212</v>
      </c>
      <c r="F301" s="5" t="s">
        <v>36</v>
      </c>
      <c r="G301" s="5" t="s">
        <v>1745</v>
      </c>
      <c r="H301" s="5" t="s">
        <v>38</v>
      </c>
      <c r="I301" s="5" t="s">
        <v>1746</v>
      </c>
      <c r="J301" s="5" t="s">
        <v>102</v>
      </c>
      <c r="K301" s="5" t="s">
        <v>102</v>
      </c>
      <c r="L301" s="5" t="s">
        <v>1747</v>
      </c>
      <c r="M301" s="5" t="s">
        <v>1748</v>
      </c>
      <c r="N301" s="5" t="s">
        <v>1749</v>
      </c>
      <c r="O301" s="5" t="s">
        <v>38</v>
      </c>
      <c r="P301" s="5" t="s">
        <v>512</v>
      </c>
      <c r="Q301" s="5" t="s">
        <v>1750</v>
      </c>
      <c r="R301" s="4">
        <v>46218</v>
      </c>
      <c r="S301" s="4">
        <v>45925</v>
      </c>
      <c r="T301" s="5" t="str">
        <f>IF(AND(R301="", S301=""), "대기자", IF(AND(R301&lt;&gt;"", S301=""), "취업 중", IF(AND(R301="", S301&lt;&gt;""), "대기자", IF(R301=S301, "", IF(R301 &lt; S301, "대기자", "취업 중")))))</f>
        <v>취업 중</v>
      </c>
      <c r="U301" s="5" t="str">
        <f>IF(J301=""," ",IF(ISNUMBER(SEARCH("소형",J301)),"소형","대형"))</f>
        <v>소형</v>
      </c>
      <c r="V301" s="4">
        <v>45627</v>
      </c>
      <c r="W301" s="4"/>
      <c r="X301" s="5" t="s">
        <v>875</v>
      </c>
      <c r="Y301" s="5" t="s">
        <v>1751</v>
      </c>
      <c r="Z301" s="13"/>
      <c r="AA301" s="13"/>
      <c r="AB301" s="13"/>
      <c r="AC301" s="13"/>
      <c r="AD301" s="13"/>
      <c r="AE301" s="14"/>
      <c r="AF301" s="14"/>
      <c r="AG301" s="14"/>
      <c r="AH301" s="14"/>
      <c r="AI301" s="6"/>
    </row>
    <row r="302" spans="1:35" ht="19.899999999999999" customHeight="1" x14ac:dyDescent="0.25">
      <c r="A302" s="5">
        <v>299</v>
      </c>
      <c r="B302" s="5" t="s">
        <v>33</v>
      </c>
      <c r="C302" s="5" t="s">
        <v>1752</v>
      </c>
      <c r="D302" s="5" t="s">
        <v>99</v>
      </c>
      <c r="E302" s="5">
        <v>19730802</v>
      </c>
      <c r="F302" s="5" t="s">
        <v>36</v>
      </c>
      <c r="G302" s="5" t="s">
        <v>1753</v>
      </c>
      <c r="H302" s="5" t="s">
        <v>38</v>
      </c>
      <c r="I302" s="5" t="s">
        <v>1754</v>
      </c>
      <c r="J302" s="5" t="s">
        <v>75</v>
      </c>
      <c r="K302" s="5" t="s">
        <v>76</v>
      </c>
      <c r="L302" s="5" t="s">
        <v>77</v>
      </c>
      <c r="M302" s="5" t="s">
        <v>78</v>
      </c>
      <c r="N302" s="5" t="s">
        <v>79</v>
      </c>
      <c r="O302" s="5" t="s">
        <v>38</v>
      </c>
      <c r="P302" s="5" t="s">
        <v>80</v>
      </c>
      <c r="Q302" s="5" t="s">
        <v>81</v>
      </c>
      <c r="R302" s="4">
        <v>46062</v>
      </c>
      <c r="S302" s="4">
        <v>45705</v>
      </c>
      <c r="T302" s="5" t="str">
        <f>IF(AND(R302="", S302=""), "대기자", IF(AND(R302&lt;&gt;"", S302=""), "취업 중", IF(AND(R302="", S302&lt;&gt;""), "대기자", IF(R302=S302, "", IF(R302 &lt; S302, "대기자", "취업 중")))))</f>
        <v>취업 중</v>
      </c>
      <c r="U302" s="5" t="str">
        <f>IF(J302=""," ",IF(ISNUMBER(SEARCH("소형",J302)),"소형","대형"))</f>
        <v>대형</v>
      </c>
      <c r="V302" s="4">
        <v>44126</v>
      </c>
      <c r="W302" s="5"/>
      <c r="X302" s="5"/>
      <c r="Y302" s="5"/>
      <c r="Z302" s="13" t="s">
        <v>82</v>
      </c>
      <c r="AA302" s="13" t="s">
        <v>49</v>
      </c>
      <c r="AB302" s="13" t="s">
        <v>49</v>
      </c>
      <c r="AC302" s="13" t="s">
        <v>48</v>
      </c>
      <c r="AD302" s="13" t="s">
        <v>48</v>
      </c>
      <c r="AE302" s="15"/>
      <c r="AF302" s="15"/>
      <c r="AG302" s="15" t="s">
        <v>83</v>
      </c>
      <c r="AH302" s="15" t="s">
        <v>1755</v>
      </c>
      <c r="AI302" s="6"/>
    </row>
    <row r="303" spans="1:35" ht="19.899999999999999" customHeight="1" x14ac:dyDescent="0.25">
      <c r="A303" s="5">
        <v>300</v>
      </c>
      <c r="B303" s="5" t="s">
        <v>33</v>
      </c>
      <c r="C303" s="5" t="s">
        <v>1756</v>
      </c>
      <c r="D303" s="5" t="s">
        <v>35</v>
      </c>
      <c r="E303" s="5">
        <v>19740920</v>
      </c>
      <c r="F303" s="5" t="s">
        <v>36</v>
      </c>
      <c r="G303" s="5" t="s">
        <v>1757</v>
      </c>
      <c r="H303" s="5" t="s">
        <v>38</v>
      </c>
      <c r="I303" s="5" t="s">
        <v>1758</v>
      </c>
      <c r="J303" s="5" t="s">
        <v>59</v>
      </c>
      <c r="K303" s="5" t="s">
        <v>112</v>
      </c>
      <c r="L303" s="5" t="s">
        <v>113</v>
      </c>
      <c r="M303" s="5" t="s">
        <v>62</v>
      </c>
      <c r="N303" s="5" t="s">
        <v>1138</v>
      </c>
      <c r="O303" s="5" t="s">
        <v>38</v>
      </c>
      <c r="P303" s="5" t="s">
        <v>64</v>
      </c>
      <c r="Q303" s="5" t="s">
        <v>65</v>
      </c>
      <c r="R303" s="4">
        <v>46077</v>
      </c>
      <c r="S303" s="4">
        <v>45659</v>
      </c>
      <c r="T303" s="5" t="str">
        <f>IF(AND(R303="", S303=""), "대기자", IF(AND(R303&lt;&gt;"", S303=""), "취업 중", IF(AND(R303="", S303&lt;&gt;""), "대기자", IF(R303=S303, "", IF(R303 &lt; S303, "대기자", "취업 중")))))</f>
        <v>취업 중</v>
      </c>
      <c r="U303" s="5" t="str">
        <f>IF(J303=""," ",IF(ISNUMBER(SEARCH("소형",J303)),"소형","대형"))</f>
        <v>대형</v>
      </c>
      <c r="V303" s="4">
        <v>38718</v>
      </c>
      <c r="W303" s="5"/>
      <c r="X303" s="5"/>
      <c r="Y303" s="5"/>
      <c r="Z303" s="13">
        <v>23</v>
      </c>
      <c r="AA303" s="13">
        <v>10</v>
      </c>
      <c r="AB303" s="13">
        <v>10</v>
      </c>
      <c r="AC303" s="13">
        <v>1</v>
      </c>
      <c r="AD303" s="13">
        <v>2</v>
      </c>
      <c r="AE303" s="14"/>
      <c r="AF303" s="14"/>
      <c r="AG303" s="14"/>
      <c r="AH303" s="14" t="s">
        <v>1759</v>
      </c>
      <c r="AI303" s="6"/>
    </row>
    <row r="304" spans="1:35" ht="19.899999999999999" customHeight="1" x14ac:dyDescent="0.25">
      <c r="A304" s="5">
        <v>301</v>
      </c>
      <c r="B304" s="5" t="s">
        <v>33</v>
      </c>
      <c r="C304" s="5" t="s">
        <v>1760</v>
      </c>
      <c r="D304" s="5" t="s">
        <v>67</v>
      </c>
      <c r="E304" s="5">
        <v>19790301</v>
      </c>
      <c r="F304" s="5" t="s">
        <v>36</v>
      </c>
      <c r="G304" s="5" t="s">
        <v>1761</v>
      </c>
      <c r="H304" s="5" t="s">
        <v>38</v>
      </c>
      <c r="I304" s="5" t="s">
        <v>1762</v>
      </c>
      <c r="J304" s="5" t="s">
        <v>59</v>
      </c>
      <c r="K304" s="5" t="s">
        <v>253</v>
      </c>
      <c r="L304" s="5" t="s">
        <v>1715</v>
      </c>
      <c r="M304" s="5" t="s">
        <v>1716</v>
      </c>
      <c r="N304" s="5" t="s">
        <v>1717</v>
      </c>
      <c r="O304" s="5" t="s">
        <v>38</v>
      </c>
      <c r="P304" s="5" t="s">
        <v>132</v>
      </c>
      <c r="Q304" s="5" t="s">
        <v>1718</v>
      </c>
      <c r="R304" s="4">
        <v>45911</v>
      </c>
      <c r="S304" s="4">
        <v>45499</v>
      </c>
      <c r="T304" s="5" t="str">
        <f>IF(AND(R304="", S304=""), "대기자", IF(AND(R304&lt;&gt;"", S304=""), "취업 중", IF(AND(R304="", S304&lt;&gt;""), "대기자", IF(R304=S304, "", IF(R304 &lt; S304, "대기자", "취업 중")))))</f>
        <v>취업 중</v>
      </c>
      <c r="U304" s="5" t="str">
        <f>IF(J304=""," ",IF(ISNUMBER(SEARCH("소형",J304)),"소형","대형"))</f>
        <v>대형</v>
      </c>
      <c r="V304" s="4">
        <v>43800</v>
      </c>
      <c r="W304" s="5"/>
      <c r="X304" s="5"/>
      <c r="Y304" s="5"/>
      <c r="Z304" s="13" t="s">
        <v>82</v>
      </c>
      <c r="AA304" s="13" t="s">
        <v>49</v>
      </c>
      <c r="AB304" s="13" t="s">
        <v>49</v>
      </c>
      <c r="AC304" s="13" t="s">
        <v>49</v>
      </c>
      <c r="AD304" s="13" t="s">
        <v>50</v>
      </c>
      <c r="AE304" s="15"/>
      <c r="AF304" s="15"/>
      <c r="AG304" s="15" t="s">
        <v>1763</v>
      </c>
      <c r="AH304" s="15" t="s">
        <v>1764</v>
      </c>
      <c r="AI304" s="6"/>
    </row>
    <row r="305" spans="1:35" ht="19.899999999999999" customHeight="1" x14ac:dyDescent="0.25">
      <c r="A305" s="5">
        <v>302</v>
      </c>
      <c r="B305" s="5" t="s">
        <v>33</v>
      </c>
      <c r="C305" s="5" t="s">
        <v>1765</v>
      </c>
      <c r="D305" s="5" t="s">
        <v>285</v>
      </c>
      <c r="E305" s="5">
        <v>19760915</v>
      </c>
      <c r="F305" s="5" t="s">
        <v>36</v>
      </c>
      <c r="G305" s="5" t="s">
        <v>1766</v>
      </c>
      <c r="H305" s="5" t="s">
        <v>38</v>
      </c>
      <c r="I305" s="5" t="s">
        <v>1767</v>
      </c>
      <c r="J305" s="5"/>
      <c r="K305" s="5"/>
      <c r="L305" s="5"/>
      <c r="M305" s="5"/>
      <c r="N305" s="5"/>
      <c r="O305" s="5"/>
      <c r="P305" s="5"/>
      <c r="Q305" s="5"/>
      <c r="R305" s="4">
        <v>45946</v>
      </c>
      <c r="S305" s="4">
        <v>46172</v>
      </c>
      <c r="T305" s="5" t="str">
        <f>IF(AND(R305="", S305=""), "대기자", IF(AND(R305&lt;&gt;"", S305=""), "취업 중", IF(AND(R305="", S305&lt;&gt;""), "대기자", IF(R305=S305, "", IF(R305 &lt; S305, "대기자", "취업 중")))))</f>
        <v>대기자</v>
      </c>
      <c r="U305" s="5" t="str">
        <f>IF(J305=""," ",IF(ISNUMBER(SEARCH("소형",J305)),"소형","대형"))</f>
        <v xml:space="preserve"> </v>
      </c>
      <c r="V305" s="4">
        <v>45627</v>
      </c>
      <c r="W305" s="5"/>
      <c r="X305" s="5"/>
      <c r="Y305" s="5"/>
      <c r="Z305" s="13"/>
      <c r="AA305" s="13"/>
      <c r="AB305" s="13"/>
      <c r="AC305" s="13"/>
      <c r="AD305" s="13"/>
      <c r="AE305" s="14"/>
      <c r="AF305" s="14"/>
      <c r="AG305" s="14"/>
      <c r="AH305" s="14"/>
      <c r="AI305" s="6"/>
    </row>
    <row r="306" spans="1:35" ht="19.899999999999999" customHeight="1" x14ac:dyDescent="0.25">
      <c r="A306" s="5">
        <v>303</v>
      </c>
      <c r="B306" s="5" t="s">
        <v>33</v>
      </c>
      <c r="C306" s="5" t="s">
        <v>1768</v>
      </c>
      <c r="D306" s="5" t="s">
        <v>67</v>
      </c>
      <c r="E306" s="5">
        <v>19691125</v>
      </c>
      <c r="F306" s="5" t="s">
        <v>36</v>
      </c>
      <c r="G306" s="5" t="s">
        <v>1769</v>
      </c>
      <c r="H306" s="5" t="s">
        <v>38</v>
      </c>
      <c r="I306" s="5" t="s">
        <v>1770</v>
      </c>
      <c r="J306" s="5" t="s">
        <v>59</v>
      </c>
      <c r="K306" s="5" t="s">
        <v>60</v>
      </c>
      <c r="L306" s="5" t="s">
        <v>550</v>
      </c>
      <c r="M306" s="5" t="s">
        <v>62</v>
      </c>
      <c r="N306" s="5" t="s">
        <v>63</v>
      </c>
      <c r="O306" s="5" t="s">
        <v>38</v>
      </c>
      <c r="P306" s="5" t="s">
        <v>64</v>
      </c>
      <c r="Q306" s="5" t="s">
        <v>172</v>
      </c>
      <c r="R306" s="4">
        <v>45999</v>
      </c>
      <c r="S306" s="4">
        <v>45696</v>
      </c>
      <c r="T306" s="5" t="str">
        <f>IF(AND(R306="", S306=""), "대기자", IF(AND(R306&lt;&gt;"", S306=""), "취업 중", IF(AND(R306="", S306&lt;&gt;""), "대기자", IF(R306=S306, "", IF(R306 &lt; S306, "대기자", "취업 중")))))</f>
        <v>취업 중</v>
      </c>
      <c r="U306" s="5" t="str">
        <f>IF(J306=""," ",IF(ISNUMBER(SEARCH("소형",J306)),"소형","대형"))</f>
        <v>대형</v>
      </c>
      <c r="V306" s="4">
        <v>42461</v>
      </c>
      <c r="W306" s="5"/>
      <c r="X306" s="5"/>
      <c r="Y306" s="5"/>
      <c r="Z306" s="13">
        <v>14</v>
      </c>
      <c r="AA306" s="13">
        <v>5</v>
      </c>
      <c r="AB306" s="13">
        <v>6</v>
      </c>
      <c r="AC306" s="13">
        <v>0</v>
      </c>
      <c r="AD306" s="13">
        <v>3</v>
      </c>
      <c r="AE306" s="15"/>
      <c r="AF306" s="15"/>
      <c r="AG306" s="15" t="s">
        <v>83</v>
      </c>
      <c r="AH306" s="15" t="s">
        <v>1771</v>
      </c>
      <c r="AI306" s="6"/>
    </row>
    <row r="307" spans="1:35" ht="19.899999999999999" customHeight="1" x14ac:dyDescent="0.25">
      <c r="A307" s="5">
        <v>304</v>
      </c>
      <c r="B307" s="5" t="s">
        <v>33</v>
      </c>
      <c r="C307" s="5" t="s">
        <v>1772</v>
      </c>
      <c r="D307" s="5" t="s">
        <v>67</v>
      </c>
      <c r="E307" s="5">
        <v>19740328</v>
      </c>
      <c r="F307" s="5" t="s">
        <v>36</v>
      </c>
      <c r="G307" s="5" t="s">
        <v>1773</v>
      </c>
      <c r="H307" s="5" t="s">
        <v>38</v>
      </c>
      <c r="I307" s="5" t="s">
        <v>1774</v>
      </c>
      <c r="J307" s="5"/>
      <c r="K307" s="5"/>
      <c r="L307" s="5"/>
      <c r="M307" s="5"/>
      <c r="N307" s="5"/>
      <c r="O307" s="5"/>
      <c r="P307" s="5"/>
      <c r="Q307" s="5"/>
      <c r="R307" s="4">
        <v>45927</v>
      </c>
      <c r="S307" s="4">
        <v>46127</v>
      </c>
      <c r="T307" s="5" t="str">
        <f>IF(AND(R307="", S307=""), "대기자", IF(AND(R307&lt;&gt;"", S307=""), "취업 중", IF(AND(R307="", S307&lt;&gt;""), "대기자", IF(R307=S307, "", IF(R307 &lt; S307, "대기자", "취업 중")))))</f>
        <v>대기자</v>
      </c>
      <c r="U307" s="5" t="str">
        <f>IF(J307=""," ",IF(ISNUMBER(SEARCH("소형",J307)),"소형","대형"))</f>
        <v xml:space="preserve"> </v>
      </c>
      <c r="V307" s="4">
        <v>42583</v>
      </c>
      <c r="W307" s="5"/>
      <c r="X307" s="5"/>
      <c r="Y307" s="5"/>
      <c r="Z307" s="13"/>
      <c r="AA307" s="13"/>
      <c r="AB307" s="13"/>
      <c r="AC307" s="13"/>
      <c r="AD307" s="13"/>
      <c r="AE307" s="14"/>
      <c r="AF307" s="14"/>
      <c r="AG307" s="14" t="s">
        <v>83</v>
      </c>
      <c r="AH307" s="14"/>
      <c r="AI307" s="6"/>
    </row>
    <row r="308" spans="1:35" ht="19.899999999999999" customHeight="1" x14ac:dyDescent="0.25">
      <c r="A308" s="5">
        <v>305</v>
      </c>
      <c r="B308" s="5" t="s">
        <v>33</v>
      </c>
      <c r="C308" s="5" t="s">
        <v>1775</v>
      </c>
      <c r="D308" s="5" t="s">
        <v>144</v>
      </c>
      <c r="E308" s="5">
        <v>19690112</v>
      </c>
      <c r="F308" s="5" t="s">
        <v>36</v>
      </c>
      <c r="G308" s="5" t="s">
        <v>1776</v>
      </c>
      <c r="H308" s="5" t="s">
        <v>38</v>
      </c>
      <c r="I308" s="5" t="s">
        <v>1777</v>
      </c>
      <c r="J308" s="5" t="s">
        <v>59</v>
      </c>
      <c r="K308" s="5" t="s">
        <v>509</v>
      </c>
      <c r="L308" s="5" t="s">
        <v>510</v>
      </c>
      <c r="M308" s="5" t="s">
        <v>511</v>
      </c>
      <c r="N308" s="5" t="s">
        <v>63</v>
      </c>
      <c r="O308" s="5" t="s">
        <v>38</v>
      </c>
      <c r="P308" s="5" t="s">
        <v>512</v>
      </c>
      <c r="Q308" s="5" t="s">
        <v>513</v>
      </c>
      <c r="R308" s="4">
        <v>46085</v>
      </c>
      <c r="S308" s="4">
        <v>46022</v>
      </c>
      <c r="T308" s="5" t="str">
        <f>IF(AND(R308="", S308=""), "대기자", IF(AND(R308&lt;&gt;"", S308=""), "취업 중", IF(AND(R308="", S308&lt;&gt;""), "대기자", IF(R308=S308, "", IF(R308 &lt; S308, "대기자", "취업 중")))))</f>
        <v>취업 중</v>
      </c>
      <c r="U308" s="5" t="str">
        <f>IF(J308=""," ",IF(ISNUMBER(SEARCH("소형",J308)),"소형","대형"))</f>
        <v>대형</v>
      </c>
      <c r="V308" s="4">
        <v>42125</v>
      </c>
      <c r="W308" s="5"/>
      <c r="X308" s="5"/>
      <c r="Y308" s="5"/>
      <c r="Z308" s="13">
        <v>15</v>
      </c>
      <c r="AA308" s="13">
        <v>6</v>
      </c>
      <c r="AB308" s="13">
        <v>7</v>
      </c>
      <c r="AC308" s="13">
        <v>0</v>
      </c>
      <c r="AD308" s="13">
        <v>2</v>
      </c>
      <c r="AE308" s="15"/>
      <c r="AF308" s="15"/>
      <c r="AG308" s="15"/>
      <c r="AH308" s="15" t="s">
        <v>1778</v>
      </c>
      <c r="AI308" s="6"/>
    </row>
    <row r="309" spans="1:35" ht="19.899999999999999" customHeight="1" x14ac:dyDescent="0.25">
      <c r="A309" s="5">
        <v>306</v>
      </c>
      <c r="B309" s="5" t="s">
        <v>33</v>
      </c>
      <c r="C309" s="5" t="s">
        <v>1779</v>
      </c>
      <c r="D309" s="5" t="s">
        <v>1780</v>
      </c>
      <c r="E309" s="6">
        <v>19720208</v>
      </c>
      <c r="F309" s="5" t="s">
        <v>36</v>
      </c>
      <c r="G309" s="5" t="s">
        <v>1781</v>
      </c>
      <c r="H309" s="5" t="s">
        <v>38</v>
      </c>
      <c r="I309" s="5" t="s">
        <v>1782</v>
      </c>
      <c r="J309" s="5" t="s">
        <v>494</v>
      </c>
      <c r="K309" s="5" t="s">
        <v>1265</v>
      </c>
      <c r="L309" s="5" t="s">
        <v>1266</v>
      </c>
      <c r="M309" s="19" t="s">
        <v>1267</v>
      </c>
      <c r="N309" s="19" t="s">
        <v>1268</v>
      </c>
      <c r="O309" s="5" t="s">
        <v>38</v>
      </c>
      <c r="P309" s="5" t="s">
        <v>499</v>
      </c>
      <c r="Q309" s="5" t="s">
        <v>1269</v>
      </c>
      <c r="R309" s="4">
        <v>46223</v>
      </c>
      <c r="S309" s="4">
        <v>45671</v>
      </c>
      <c r="T309" s="5" t="str">
        <f>IF(AND(R309="", S309=""), "대기자", IF(AND(R309&lt;&gt;"", S309=""), "취업 중", IF(AND(R309="", S309&lt;&gt;""), "대기자", IF(R309=S309, "", IF(R309 &lt; S309, "대기자", "취업 중")))))</f>
        <v>취업 중</v>
      </c>
      <c r="U309" s="5" t="str">
        <f>IF(J309=""," ",IF(ISNUMBER(SEARCH("소형",J309)),"소형","대형"))</f>
        <v>대형</v>
      </c>
      <c r="V309" s="4">
        <v>46266</v>
      </c>
      <c r="W309" s="8"/>
      <c r="X309" s="5"/>
      <c r="Y309" s="5"/>
      <c r="Z309" s="13" t="s">
        <v>70</v>
      </c>
      <c r="AA309" s="13">
        <v>2</v>
      </c>
      <c r="AB309" s="13" t="s">
        <v>48</v>
      </c>
      <c r="AC309" s="13">
        <v>0</v>
      </c>
      <c r="AD309" s="13" t="s">
        <v>50</v>
      </c>
    </row>
    <row r="310" spans="1:35" ht="19.899999999999999" customHeight="1" x14ac:dyDescent="0.25">
      <c r="A310" s="5">
        <v>307</v>
      </c>
      <c r="B310" s="5" t="s">
        <v>33</v>
      </c>
      <c r="C310" s="5" t="s">
        <v>1783</v>
      </c>
      <c r="D310" s="5" t="s">
        <v>1780</v>
      </c>
      <c r="E310" s="5">
        <v>19760705</v>
      </c>
      <c r="F310" s="5" t="s">
        <v>36</v>
      </c>
      <c r="G310" s="5" t="s">
        <v>1784</v>
      </c>
      <c r="H310" s="5" t="s">
        <v>38</v>
      </c>
      <c r="I310" s="5" t="s">
        <v>1785</v>
      </c>
      <c r="J310" s="5" t="s">
        <v>1786</v>
      </c>
      <c r="K310" s="5" t="s">
        <v>1787</v>
      </c>
      <c r="L310" s="5" t="s">
        <v>1788</v>
      </c>
      <c r="M310" s="19" t="s">
        <v>1789</v>
      </c>
      <c r="N310" s="20" t="s">
        <v>1790</v>
      </c>
      <c r="O310" s="5" t="s">
        <v>38</v>
      </c>
      <c r="P310" s="5" t="s">
        <v>164</v>
      </c>
      <c r="Q310" s="5" t="s">
        <v>1791</v>
      </c>
      <c r="R310" s="4">
        <v>46113</v>
      </c>
      <c r="S310" s="4">
        <v>45870</v>
      </c>
      <c r="T310" s="5" t="str">
        <f>IF(AND(R310="", S310=""), "대기자", IF(AND(R310&lt;&gt;"", S310=""), "취업 중", IF(AND(R310="", S310&lt;&gt;""), "대기자", IF(R310=S310, "", IF(R310 &lt; S310, "대기자", "취업 중")))))</f>
        <v>취업 중</v>
      </c>
      <c r="U310" s="5" t="str">
        <f>IF(J310=""," ",IF(ISNUMBER(SEARCH("소형",J310)),"소형","대형"))</f>
        <v>대형</v>
      </c>
      <c r="V310" s="4">
        <v>46266</v>
      </c>
      <c r="W310" s="8"/>
      <c r="X310" s="5"/>
      <c r="Y310" s="5"/>
    </row>
    <row r="311" spans="1:35" ht="19.899999999999999" customHeight="1" x14ac:dyDescent="0.25">
      <c r="A311" s="5">
        <v>308</v>
      </c>
      <c r="B311" s="5" t="s">
        <v>33</v>
      </c>
      <c r="C311" s="5" t="s">
        <v>1792</v>
      </c>
      <c r="D311" s="5" t="s">
        <v>1780</v>
      </c>
      <c r="E311" s="5">
        <v>19720618</v>
      </c>
      <c r="F311" s="5" t="s">
        <v>36</v>
      </c>
      <c r="G311" s="5" t="s">
        <v>1793</v>
      </c>
      <c r="H311" s="5" t="s">
        <v>38</v>
      </c>
      <c r="I311" s="19" t="s">
        <v>1794</v>
      </c>
      <c r="J311" s="5"/>
      <c r="K311" s="5"/>
      <c r="L311" s="5"/>
      <c r="M311" s="5"/>
      <c r="N311" s="5"/>
      <c r="O311" s="5"/>
      <c r="P311" s="5"/>
      <c r="Q311" s="5"/>
      <c r="R311" s="4"/>
      <c r="S311" s="4">
        <v>45544</v>
      </c>
      <c r="T311" s="5" t="str">
        <f>IF(AND(R311="", S311=""), "대기자", IF(AND(R311&lt;&gt;"", S311=""), "취업 중", IF(AND(R311="", S311&lt;&gt;""), "대기자", IF(R311=S311, "", IF(R311 &lt; S311, "대기자", "취업 중")))))</f>
        <v>대기자</v>
      </c>
      <c r="U311" s="5" t="str">
        <f>IF(J311=""," ",IF(ISNUMBER(SEARCH("소형",J311)),"소형","대형"))</f>
        <v xml:space="preserve"> </v>
      </c>
      <c r="V311" s="4">
        <v>46266</v>
      </c>
      <c r="W311" s="8"/>
      <c r="X311" s="5"/>
      <c r="Y311" s="5"/>
    </row>
    <row r="312" spans="1:35" ht="19.899999999999999" customHeight="1" x14ac:dyDescent="0.25">
      <c r="A312" s="5">
        <v>309</v>
      </c>
      <c r="B312" s="5" t="s">
        <v>33</v>
      </c>
      <c r="C312" s="5" t="s">
        <v>1795</v>
      </c>
      <c r="D312" s="5" t="s">
        <v>1780</v>
      </c>
      <c r="E312" s="5">
        <v>19700601</v>
      </c>
      <c r="F312" s="5" t="s">
        <v>36</v>
      </c>
      <c r="G312" s="19" t="s">
        <v>1796</v>
      </c>
      <c r="H312" s="5" t="s">
        <v>38</v>
      </c>
      <c r="I312" s="19" t="s">
        <v>1797</v>
      </c>
      <c r="J312" s="5" t="s">
        <v>263</v>
      </c>
      <c r="K312" s="21" t="s">
        <v>1322</v>
      </c>
      <c r="L312" s="19" t="s">
        <v>1323</v>
      </c>
      <c r="M312" s="19" t="s">
        <v>1324</v>
      </c>
      <c r="N312" s="19" t="s">
        <v>1325</v>
      </c>
      <c r="O312" s="19" t="s">
        <v>38</v>
      </c>
      <c r="P312" s="19" t="s">
        <v>215</v>
      </c>
      <c r="Q312" s="19" t="s">
        <v>1326</v>
      </c>
      <c r="R312" s="4">
        <v>45757</v>
      </c>
      <c r="S312" s="4">
        <v>45047</v>
      </c>
      <c r="T312" s="5" t="str">
        <f>IF(AND(R312="", S312=""), "대기자", IF(AND(R312&lt;&gt;"", S312=""), "취업 중", IF(AND(R312="", S312&lt;&gt;""), "대기자", IF(R312=S312, "", IF(R312 &lt; S312, "대기자", "취업 중")))))</f>
        <v>취업 중</v>
      </c>
      <c r="U312" s="5" t="str">
        <f>IF(J312=""," ",IF(ISNUMBER(SEARCH("소형",J312)),"소형","대형"))</f>
        <v>대형</v>
      </c>
      <c r="V312" s="4">
        <v>46266</v>
      </c>
      <c r="W312" s="8"/>
      <c r="X312" s="5"/>
      <c r="Y312" s="5"/>
      <c r="Z312" s="13" t="s">
        <v>94</v>
      </c>
      <c r="AA312" s="13">
        <v>3</v>
      </c>
      <c r="AB312" s="13" t="s">
        <v>49</v>
      </c>
      <c r="AC312" s="13">
        <v>0</v>
      </c>
      <c r="AD312" s="13" t="s">
        <v>50</v>
      </c>
    </row>
    <row r="313" spans="1:35" ht="19.899999999999999" customHeight="1" x14ac:dyDescent="0.25">
      <c r="A313" s="5">
        <v>310</v>
      </c>
      <c r="B313" s="5" t="s">
        <v>33</v>
      </c>
      <c r="C313" s="5" t="s">
        <v>1798</v>
      </c>
      <c r="D313" s="5" t="s">
        <v>1780</v>
      </c>
      <c r="E313" s="5">
        <v>19861128</v>
      </c>
      <c r="F313" s="5" t="s">
        <v>36</v>
      </c>
      <c r="G313" s="5" t="s">
        <v>1799</v>
      </c>
      <c r="H313" s="5" t="s">
        <v>38</v>
      </c>
      <c r="I313" s="5" t="s">
        <v>1800</v>
      </c>
      <c r="J313" s="5" t="s">
        <v>826</v>
      </c>
      <c r="K313" s="5" t="s">
        <v>827</v>
      </c>
      <c r="L313" s="5" t="s">
        <v>828</v>
      </c>
      <c r="M313" s="5" t="s">
        <v>829</v>
      </c>
      <c r="N313" s="5" t="s">
        <v>830</v>
      </c>
      <c r="O313" s="5" t="s">
        <v>38</v>
      </c>
      <c r="P313" s="5" t="s">
        <v>215</v>
      </c>
      <c r="Q313" s="5" t="s">
        <v>831</v>
      </c>
      <c r="R313" s="4">
        <v>45720</v>
      </c>
      <c r="S313" s="4">
        <v>45413</v>
      </c>
      <c r="T313" s="5" t="str">
        <f>IF(AND(R313="", S313=""), "대기자", IF(AND(R313&lt;&gt;"", S313=""), "취업 중", IF(AND(R313="", S313&lt;&gt;""), "대기자", IF(R313=S313, "", IF(R313 &lt; S313, "대기자", "취업 중")))))</f>
        <v>취업 중</v>
      </c>
      <c r="U313" s="5" t="str">
        <f>IF(J313=""," ",IF(ISNUMBER(SEARCH("소형",J313)),"소형","대형"))</f>
        <v>대형</v>
      </c>
      <c r="V313" s="4">
        <v>46266</v>
      </c>
      <c r="W313" s="8"/>
      <c r="X313" s="5"/>
      <c r="Y313" s="5"/>
      <c r="Z313" s="13" t="s">
        <v>154</v>
      </c>
      <c r="AA313" s="13">
        <v>5</v>
      </c>
      <c r="AB313" s="13" t="s">
        <v>70</v>
      </c>
      <c r="AC313" s="13">
        <v>0</v>
      </c>
      <c r="AD313" s="13" t="s">
        <v>48</v>
      </c>
    </row>
    <row r="314" spans="1:35" ht="19.899999999999999" customHeight="1" x14ac:dyDescent="0.25">
      <c r="A314" s="5">
        <v>311</v>
      </c>
      <c r="B314" s="5" t="s">
        <v>33</v>
      </c>
      <c r="C314" s="5" t="s">
        <v>1801</v>
      </c>
      <c r="D314" s="5" t="s">
        <v>1780</v>
      </c>
      <c r="E314" s="5">
        <v>19851213</v>
      </c>
      <c r="F314" s="5" t="s">
        <v>36</v>
      </c>
      <c r="G314" s="5" t="s">
        <v>1802</v>
      </c>
      <c r="H314" s="5" t="s">
        <v>38</v>
      </c>
      <c r="I314" s="5" t="s">
        <v>1803</v>
      </c>
      <c r="J314" s="5" t="s">
        <v>518</v>
      </c>
      <c r="K314" s="5" t="s">
        <v>291</v>
      </c>
      <c r="L314" s="5" t="s">
        <v>1804</v>
      </c>
      <c r="M314" s="5" t="s">
        <v>1805</v>
      </c>
      <c r="N314" s="5" t="s">
        <v>1806</v>
      </c>
      <c r="O314" s="5" t="s">
        <v>740</v>
      </c>
      <c r="P314" s="5" t="s">
        <v>1807</v>
      </c>
      <c r="Q314" s="5" t="s">
        <v>1808</v>
      </c>
      <c r="R314" s="4">
        <v>45960</v>
      </c>
      <c r="S314" s="4"/>
      <c r="T314" s="5" t="str">
        <f>IF(AND(R314="", S314=""), "대기자", IF(AND(R314&lt;&gt;"", S314=""), "취업 중", IF(AND(R314="", S314&lt;&gt;""), "대기자", IF(R314=S314, "", IF(R314 &lt; S314, "대기자", "취업 중")))))</f>
        <v>취업 중</v>
      </c>
      <c r="U314" s="5" t="str">
        <f>IF(J314=""," ",IF(ISNUMBER(SEARCH("소형",J314)),"소형","대형"))</f>
        <v>대형</v>
      </c>
      <c r="V314" s="4">
        <v>46266</v>
      </c>
      <c r="W314" s="8"/>
      <c r="X314" s="5"/>
      <c r="Y314" s="5"/>
    </row>
    <row r="315" spans="1:35" ht="19.899999999999999" customHeight="1" x14ac:dyDescent="0.25">
      <c r="A315" s="5">
        <v>312</v>
      </c>
      <c r="B315" s="5" t="s">
        <v>33</v>
      </c>
      <c r="C315" s="5" t="s">
        <v>1809</v>
      </c>
      <c r="D315" s="5" t="s">
        <v>1780</v>
      </c>
      <c r="E315" s="5">
        <v>19790919</v>
      </c>
      <c r="F315" s="5" t="s">
        <v>36</v>
      </c>
      <c r="G315" s="5" t="s">
        <v>1810</v>
      </c>
      <c r="H315" s="5" t="s">
        <v>38</v>
      </c>
      <c r="I315" s="19" t="s">
        <v>1811</v>
      </c>
      <c r="J315" s="5" t="s">
        <v>59</v>
      </c>
      <c r="K315" s="5" t="s">
        <v>60</v>
      </c>
      <c r="L315" s="5" t="s">
        <v>61</v>
      </c>
      <c r="M315" s="5" t="s">
        <v>62</v>
      </c>
      <c r="N315" s="5" t="s">
        <v>63</v>
      </c>
      <c r="O315" s="19" t="s">
        <v>38</v>
      </c>
      <c r="P315" s="19" t="s">
        <v>64</v>
      </c>
      <c r="Q315" s="19" t="s">
        <v>65</v>
      </c>
      <c r="R315" s="4">
        <v>46202</v>
      </c>
      <c r="S315" s="4">
        <v>46114</v>
      </c>
      <c r="T315" s="5" t="str">
        <f>IF(AND(R315="", S315=""), "대기자", IF(AND(R315&lt;&gt;"", S315=""), "취업 중", IF(AND(R315="", S315&lt;&gt;""), "대기자", IF(R315=S315, "", IF(R315 &lt; S315, "대기자", "취업 중")))))</f>
        <v>취업 중</v>
      </c>
      <c r="U315" s="5" t="str">
        <f>IF(J315=""," ",IF(ISNUMBER(SEARCH("소형",J315)),"소형","대형"))</f>
        <v>대형</v>
      </c>
      <c r="V315" s="4">
        <v>46266</v>
      </c>
      <c r="W315" s="8"/>
      <c r="X315" s="5"/>
      <c r="Y315" s="5"/>
    </row>
    <row r="316" spans="1:35" ht="19.899999999999999" customHeight="1" x14ac:dyDescent="0.25">
      <c r="A316" s="5">
        <v>313</v>
      </c>
      <c r="B316" s="5" t="s">
        <v>33</v>
      </c>
      <c r="C316" s="5" t="s">
        <v>1812</v>
      </c>
      <c r="D316" s="5" t="s">
        <v>1780</v>
      </c>
      <c r="E316" s="5">
        <v>20021018</v>
      </c>
      <c r="F316" s="5" t="s">
        <v>36</v>
      </c>
      <c r="G316" s="5" t="s">
        <v>1813</v>
      </c>
      <c r="H316" s="5" t="s">
        <v>38</v>
      </c>
      <c r="I316" s="5" t="s">
        <v>1814</v>
      </c>
      <c r="J316" s="5"/>
      <c r="K316" s="5"/>
      <c r="L316" s="5"/>
      <c r="M316" s="5"/>
      <c r="N316" s="5"/>
      <c r="O316" s="5"/>
      <c r="P316" s="5"/>
      <c r="Q316" s="5"/>
      <c r="R316" s="4"/>
      <c r="S316" s="4">
        <v>46174</v>
      </c>
      <c r="T316" s="5" t="str">
        <f>IF(AND(R316="", S316=""), "대기자", IF(AND(R316&lt;&gt;"", S316=""), "취업 중", IF(AND(R316="", S316&lt;&gt;""), "대기자", IF(R316=S316, "", IF(R316 &lt; S316, "대기자", "취업 중")))))</f>
        <v>대기자</v>
      </c>
      <c r="U316" s="5" t="str">
        <f>IF(J316=""," ",IF(ISNUMBER(SEARCH("소형",J316)),"소형","대형"))</f>
        <v xml:space="preserve"> </v>
      </c>
      <c r="V316" s="4">
        <v>46266</v>
      </c>
      <c r="W316" s="8"/>
      <c r="X316" s="5"/>
      <c r="Y316" s="5"/>
    </row>
    <row r="317" spans="1:35" ht="19.899999999999999" customHeight="1" x14ac:dyDescent="0.25">
      <c r="A317" s="5">
        <v>314</v>
      </c>
      <c r="B317" s="5" t="s">
        <v>33</v>
      </c>
      <c r="C317" s="5" t="s">
        <v>1815</v>
      </c>
      <c r="D317" s="5" t="s">
        <v>1780</v>
      </c>
      <c r="E317" s="5">
        <v>19920302</v>
      </c>
      <c r="F317" s="5" t="s">
        <v>36</v>
      </c>
      <c r="G317" s="5" t="s">
        <v>1816</v>
      </c>
      <c r="H317" s="5" t="s">
        <v>38</v>
      </c>
      <c r="I317" s="5" t="s">
        <v>1817</v>
      </c>
      <c r="J317" s="5" t="s">
        <v>826</v>
      </c>
      <c r="K317" s="5" t="s">
        <v>827</v>
      </c>
      <c r="L317" s="5" t="s">
        <v>828</v>
      </c>
      <c r="M317" s="5" t="s">
        <v>829</v>
      </c>
      <c r="N317" s="5" t="s">
        <v>830</v>
      </c>
      <c r="O317" s="5" t="s">
        <v>38</v>
      </c>
      <c r="P317" s="5" t="s">
        <v>215</v>
      </c>
      <c r="Q317" s="5" t="s">
        <v>831</v>
      </c>
      <c r="R317" s="4">
        <v>45689</v>
      </c>
      <c r="S317" s="4"/>
      <c r="T317" s="5" t="str">
        <f>IF(AND(R317="", S317=""), "대기자", IF(AND(R317&lt;&gt;"", S317=""), "취업 중", IF(AND(R317="", S317&lt;&gt;""), "대기자", IF(R317=S317, "", IF(R317 &lt; S317, "대기자", "취업 중")))))</f>
        <v>취업 중</v>
      </c>
      <c r="U317" s="5" t="str">
        <f>IF(J317=""," ",IF(ISNUMBER(SEARCH("소형",J317)),"소형","대형"))</f>
        <v>대형</v>
      </c>
      <c r="V317" s="4">
        <v>46266</v>
      </c>
      <c r="W317" s="8"/>
      <c r="X317" s="5"/>
      <c r="Y317" s="5"/>
      <c r="Z317" s="13" t="s">
        <v>154</v>
      </c>
      <c r="AA317" s="13">
        <v>5</v>
      </c>
      <c r="AB317" s="13" t="s">
        <v>70</v>
      </c>
      <c r="AC317" s="13">
        <v>0</v>
      </c>
      <c r="AD317" s="13" t="s">
        <v>48</v>
      </c>
    </row>
    <row r="318" spans="1:35" ht="19.899999999999999" customHeight="1" x14ac:dyDescent="0.25">
      <c r="A318" s="5">
        <v>315</v>
      </c>
      <c r="B318" s="5" t="s">
        <v>33</v>
      </c>
      <c r="C318" s="5" t="s">
        <v>1818</v>
      </c>
      <c r="D318" s="5" t="s">
        <v>1780</v>
      </c>
      <c r="E318" s="5">
        <v>19740822</v>
      </c>
      <c r="F318" s="5" t="s">
        <v>36</v>
      </c>
      <c r="G318" s="5" t="s">
        <v>1819</v>
      </c>
      <c r="H318" s="5" t="s">
        <v>38</v>
      </c>
      <c r="I318" s="5" t="s">
        <v>1820</v>
      </c>
      <c r="J318" s="5" t="s">
        <v>630</v>
      </c>
      <c r="K318" s="5" t="s">
        <v>631</v>
      </c>
      <c r="L318" s="5" t="s">
        <v>632</v>
      </c>
      <c r="M318" s="5" t="s">
        <v>633</v>
      </c>
      <c r="N318" s="5" t="s">
        <v>634</v>
      </c>
      <c r="O318" s="5" t="s">
        <v>38</v>
      </c>
      <c r="P318" s="5" t="s">
        <v>635</v>
      </c>
      <c r="Q318" s="5" t="s">
        <v>636</v>
      </c>
      <c r="R318" s="4">
        <v>46054</v>
      </c>
      <c r="S318" s="4">
        <v>45139</v>
      </c>
      <c r="T318" s="5" t="s">
        <v>1821</v>
      </c>
      <c r="U318" s="5" t="str">
        <f>IF(J318=""," ",IF(ISNUMBER(SEARCH("소형",J318)),"소형","대형"))</f>
        <v>대형</v>
      </c>
      <c r="V318" s="4">
        <v>46266</v>
      </c>
      <c r="W318" s="8"/>
      <c r="X318" s="5"/>
      <c r="Y318" s="5"/>
    </row>
    <row r="319" spans="1:35" ht="19.899999999999999" customHeight="1" x14ac:dyDescent="0.25">
      <c r="A319" s="5">
        <v>316</v>
      </c>
      <c r="B319" s="5" t="s">
        <v>33</v>
      </c>
      <c r="C319" s="5" t="s">
        <v>1822</v>
      </c>
      <c r="D319" s="5" t="s">
        <v>1780</v>
      </c>
      <c r="E319" s="5">
        <v>19670405</v>
      </c>
      <c r="F319" s="5" t="s">
        <v>36</v>
      </c>
      <c r="G319" s="5" t="s">
        <v>1823</v>
      </c>
      <c r="H319" s="5" t="s">
        <v>38</v>
      </c>
      <c r="I319" s="5" t="s">
        <v>1824</v>
      </c>
      <c r="J319" s="5" t="s">
        <v>538</v>
      </c>
      <c r="K319" s="5" t="s">
        <v>76</v>
      </c>
      <c r="L319" s="5" t="s">
        <v>1825</v>
      </c>
      <c r="M319" s="5" t="s">
        <v>1826</v>
      </c>
      <c r="N319" s="20" t="s">
        <v>1827</v>
      </c>
      <c r="O319" s="5" t="s">
        <v>1828</v>
      </c>
      <c r="P319" s="5" t="s">
        <v>1829</v>
      </c>
      <c r="Q319" s="5" t="s">
        <v>1830</v>
      </c>
      <c r="R319" s="4">
        <v>45756</v>
      </c>
      <c r="S319" s="4">
        <v>45536</v>
      </c>
      <c r="T319" s="5" t="str">
        <f>IF(AND(R319="", S319=""), "대기자", IF(AND(R319&lt;&gt;"", S319=""), "취업 중", IF(AND(R319="", S319&lt;&gt;""), "대기자", IF(R319=S319, "", IF(R319 &lt; S319, "대기자", "취업 중")))))</f>
        <v>취업 중</v>
      </c>
      <c r="U319" s="5" t="str">
        <f>IF(J319=""," ",IF(ISNUMBER(SEARCH("소형",J319)),"소형","대형"))</f>
        <v>대형</v>
      </c>
      <c r="V319" s="4">
        <v>46266</v>
      </c>
      <c r="W319" s="8"/>
      <c r="X319" s="5"/>
      <c r="Y319" s="5"/>
    </row>
    <row r="320" spans="1:35" ht="19.899999999999999" customHeight="1" x14ac:dyDescent="0.25">
      <c r="A320" s="5">
        <v>317</v>
      </c>
      <c r="B320" s="5" t="s">
        <v>33</v>
      </c>
      <c r="C320" s="5" t="s">
        <v>1831</v>
      </c>
      <c r="D320" s="5" t="s">
        <v>1780</v>
      </c>
      <c r="E320" s="5">
        <v>20000605</v>
      </c>
      <c r="F320" s="5" t="s">
        <v>36</v>
      </c>
      <c r="G320" s="5" t="s">
        <v>1832</v>
      </c>
      <c r="H320" s="5" t="s">
        <v>38</v>
      </c>
      <c r="I320" s="5" t="s">
        <v>1824</v>
      </c>
      <c r="J320" s="5" t="s">
        <v>1833</v>
      </c>
      <c r="K320" s="5" t="s">
        <v>308</v>
      </c>
      <c r="L320" s="19" t="s">
        <v>1331</v>
      </c>
      <c r="M320" s="19" t="s">
        <v>1332</v>
      </c>
      <c r="N320" s="19" t="s">
        <v>1333</v>
      </c>
      <c r="O320" s="19" t="s">
        <v>38</v>
      </c>
      <c r="P320" s="19" t="s">
        <v>635</v>
      </c>
      <c r="Q320" s="19" t="s">
        <v>1334</v>
      </c>
      <c r="R320" s="4">
        <v>45839</v>
      </c>
      <c r="S320" s="4"/>
      <c r="T320" s="5" t="s">
        <v>1821</v>
      </c>
      <c r="U320" s="5" t="str">
        <f>IF(J320=""," ",IF(ISNUMBER(SEARCH("소형",J320)),"소형","대형"))</f>
        <v>대형</v>
      </c>
      <c r="V320" s="4">
        <v>46266</v>
      </c>
      <c r="W320" s="8"/>
      <c r="X320" s="5"/>
      <c r="Y320" s="5"/>
    </row>
    <row r="321" spans="1:30" ht="19.899999999999999" customHeight="1" x14ac:dyDescent="0.25">
      <c r="A321" s="5">
        <v>318</v>
      </c>
      <c r="B321" s="5" t="s">
        <v>33</v>
      </c>
      <c r="C321" s="5" t="s">
        <v>1834</v>
      </c>
      <c r="D321" s="5" t="s">
        <v>1780</v>
      </c>
      <c r="E321" s="5">
        <v>19680103</v>
      </c>
      <c r="F321" s="5" t="s">
        <v>36</v>
      </c>
      <c r="G321" s="5" t="s">
        <v>1835</v>
      </c>
      <c r="H321" s="5" t="s">
        <v>38</v>
      </c>
      <c r="I321" s="5" t="s">
        <v>1836</v>
      </c>
      <c r="J321" s="5" t="s">
        <v>263</v>
      </c>
      <c r="K321" s="5" t="s">
        <v>409</v>
      </c>
      <c r="L321" s="19" t="s">
        <v>563</v>
      </c>
      <c r="M321" s="19" t="s">
        <v>564</v>
      </c>
      <c r="N321" s="19" t="s">
        <v>565</v>
      </c>
      <c r="O321" s="19" t="s">
        <v>38</v>
      </c>
      <c r="P321" s="19" t="s">
        <v>152</v>
      </c>
      <c r="Q321" s="19" t="s">
        <v>566</v>
      </c>
      <c r="R321" s="4">
        <v>45999</v>
      </c>
      <c r="S321" s="4">
        <v>45972</v>
      </c>
      <c r="T321" s="5" t="str">
        <f>IF(AND(R321="", S321=""), "대기자", IF(AND(R321&lt;&gt;"", S321=""), "취업 중", IF(AND(R321="", S321&lt;&gt;""), "대기자", IF(R321=S321, "", IF(R321 &lt; S321, "대기자", "취업 중")))))</f>
        <v>취업 중</v>
      </c>
      <c r="U321" s="5" t="str">
        <f>IF(J321=""," ",IF(ISNUMBER(SEARCH("소형",J321)),"소형","대형"))</f>
        <v>대형</v>
      </c>
      <c r="V321" s="4">
        <v>46266</v>
      </c>
      <c r="W321" s="8"/>
      <c r="X321" s="5"/>
      <c r="Y321" s="5"/>
      <c r="Z321" s="13" t="s">
        <v>47</v>
      </c>
      <c r="AA321" s="13">
        <v>2</v>
      </c>
      <c r="AB321" s="13" t="s">
        <v>49</v>
      </c>
      <c r="AC321" s="13">
        <v>0</v>
      </c>
      <c r="AD321" s="13" t="s">
        <v>50</v>
      </c>
    </row>
    <row r="322" spans="1:30" ht="19.899999999999999" customHeight="1" x14ac:dyDescent="0.25">
      <c r="A322" s="5">
        <v>319</v>
      </c>
      <c r="B322" s="5" t="s">
        <v>33</v>
      </c>
      <c r="C322" s="5" t="s">
        <v>1837</v>
      </c>
      <c r="D322" s="5" t="s">
        <v>1780</v>
      </c>
      <c r="E322" s="5">
        <v>20001124</v>
      </c>
      <c r="F322" s="5" t="s">
        <v>36</v>
      </c>
      <c r="G322" s="5" t="s">
        <v>1838</v>
      </c>
      <c r="H322" s="5" t="s">
        <v>38</v>
      </c>
      <c r="I322" s="5" t="s">
        <v>1839</v>
      </c>
      <c r="J322" s="5"/>
      <c r="K322" s="5"/>
      <c r="L322" s="5"/>
      <c r="M322" s="5"/>
      <c r="N322" s="5"/>
      <c r="O322" s="5"/>
      <c r="P322" s="5"/>
      <c r="Q322" s="5"/>
      <c r="R322" s="4"/>
      <c r="S322" s="4">
        <v>46248</v>
      </c>
      <c r="T322" s="5" t="str">
        <f>IF(AND(R322="", S322=""), "대기자", IF(AND(R322&lt;&gt;"", S322=""), "취업 중", IF(AND(R322="", S322&lt;&gt;""), "대기자", IF(R322=S322, "", IF(R322 &lt; S322, "대기자", "취업 중")))))</f>
        <v>대기자</v>
      </c>
      <c r="U322" s="5" t="str">
        <f>IF(J322=""," ",IF(ISNUMBER(SEARCH("소형",J322)),"소형","대형"))</f>
        <v xml:space="preserve"> </v>
      </c>
      <c r="V322" s="4">
        <v>46266</v>
      </c>
      <c r="W322" s="8"/>
      <c r="X322" s="5"/>
      <c r="Y322" s="5"/>
    </row>
    <row r="323" spans="1:30" ht="19.899999999999999" customHeight="1" x14ac:dyDescent="0.25">
      <c r="A323" s="5">
        <v>320</v>
      </c>
      <c r="B323" s="5" t="s">
        <v>33</v>
      </c>
      <c r="C323" s="5" t="s">
        <v>1840</v>
      </c>
      <c r="D323" s="5" t="s">
        <v>1780</v>
      </c>
      <c r="E323" s="5">
        <v>20030501</v>
      </c>
      <c r="F323" s="5" t="s">
        <v>36</v>
      </c>
      <c r="G323" s="5" t="s">
        <v>1841</v>
      </c>
      <c r="H323" s="5" t="s">
        <v>38</v>
      </c>
      <c r="I323" s="5" t="s">
        <v>1842</v>
      </c>
      <c r="J323" s="5"/>
      <c r="K323" s="5"/>
      <c r="L323" s="5"/>
      <c r="M323" s="5"/>
      <c r="N323" s="5"/>
      <c r="O323" s="5"/>
      <c r="P323" s="5"/>
      <c r="Q323" s="5"/>
      <c r="R323" s="4"/>
      <c r="S323" s="4">
        <v>46143</v>
      </c>
      <c r="T323" s="5" t="str">
        <f>IF(AND(R323="", S323=""), "대기자", IF(AND(R323&lt;&gt;"", S323=""), "취업 중", IF(AND(R323="", S323&lt;&gt;""), "대기자", IF(R323=S323, "", IF(R323 &lt; S323, "대기자", "취업 중")))))</f>
        <v>대기자</v>
      </c>
      <c r="U323" s="5" t="str">
        <f>IF(J323=""," ",IF(ISNUMBER(SEARCH("소형",J323)),"소형","대형"))</f>
        <v xml:space="preserve"> </v>
      </c>
      <c r="V323" s="4">
        <v>46266</v>
      </c>
      <c r="W323" s="8"/>
      <c r="X323" s="5"/>
      <c r="Y323" s="5"/>
    </row>
    <row r="324" spans="1:30" ht="19.899999999999999" customHeight="1" x14ac:dyDescent="0.25">
      <c r="A324" s="5">
        <v>321</v>
      </c>
      <c r="B324" s="5" t="s">
        <v>33</v>
      </c>
      <c r="C324" s="5" t="s">
        <v>1843</v>
      </c>
      <c r="D324" s="5" t="s">
        <v>1780</v>
      </c>
      <c r="E324" s="5">
        <v>19920715</v>
      </c>
      <c r="F324" s="5" t="s">
        <v>36</v>
      </c>
      <c r="G324" s="5" t="s">
        <v>1844</v>
      </c>
      <c r="H324" s="5" t="s">
        <v>38</v>
      </c>
      <c r="I324" s="5" t="s">
        <v>1845</v>
      </c>
      <c r="J324" s="5" t="s">
        <v>1846</v>
      </c>
      <c r="K324" s="5"/>
      <c r="L324" s="5" t="s">
        <v>1847</v>
      </c>
      <c r="M324" s="5" t="s">
        <v>1848</v>
      </c>
      <c r="N324" s="5"/>
      <c r="O324" s="5" t="s">
        <v>1849</v>
      </c>
      <c r="P324" s="5" t="s">
        <v>1850</v>
      </c>
      <c r="Q324" s="5" t="s">
        <v>1851</v>
      </c>
      <c r="R324" s="4">
        <v>45890</v>
      </c>
      <c r="S324" s="4"/>
      <c r="T324" s="5" t="s">
        <v>1821</v>
      </c>
      <c r="U324" s="5" t="str">
        <f>IF(J324=""," ",IF(ISNUMBER(SEARCH("소형",J324)),"소형","대형"))</f>
        <v>대형</v>
      </c>
      <c r="V324" s="4">
        <v>46266</v>
      </c>
      <c r="W324" s="8"/>
      <c r="X324" s="5" t="s">
        <v>1852</v>
      </c>
      <c r="Y324" s="5" t="s">
        <v>1853</v>
      </c>
    </row>
    <row r="325" spans="1:30" ht="19.899999999999999" customHeight="1" x14ac:dyDescent="0.25">
      <c r="A325" s="5">
        <v>322</v>
      </c>
      <c r="B325" s="5" t="s">
        <v>33</v>
      </c>
      <c r="C325" s="5" t="s">
        <v>1854</v>
      </c>
      <c r="D325" s="5" t="s">
        <v>1780</v>
      </c>
      <c r="E325" s="5">
        <v>19650312</v>
      </c>
      <c r="F325" s="5" t="s">
        <v>36</v>
      </c>
      <c r="G325" s="19" t="s">
        <v>1855</v>
      </c>
      <c r="H325" s="5" t="s">
        <v>38</v>
      </c>
      <c r="I325" s="5" t="s">
        <v>1856</v>
      </c>
      <c r="J325" s="5" t="s">
        <v>814</v>
      </c>
      <c r="K325" s="5" t="s">
        <v>862</v>
      </c>
      <c r="L325" s="19" t="s">
        <v>863</v>
      </c>
      <c r="M325" s="19" t="s">
        <v>864</v>
      </c>
      <c r="N325" s="19" t="s">
        <v>864</v>
      </c>
      <c r="O325" s="19" t="s">
        <v>38</v>
      </c>
      <c r="P325" s="19" t="s">
        <v>865</v>
      </c>
      <c r="Q325" s="19" t="s">
        <v>866</v>
      </c>
      <c r="R325" s="4">
        <v>46040</v>
      </c>
      <c r="S325" s="4">
        <v>45748</v>
      </c>
      <c r="T325" s="5" t="s">
        <v>1821</v>
      </c>
      <c r="U325" s="5" t="str">
        <f>IF(J325=""," ",IF(ISNUMBER(SEARCH("소형",J325)),"소형","대형"))</f>
        <v>대형</v>
      </c>
      <c r="V325" s="4">
        <v>46266</v>
      </c>
      <c r="W325" s="8"/>
      <c r="X325" s="5"/>
      <c r="Y325" s="5"/>
      <c r="Z325" s="13" t="s">
        <v>82</v>
      </c>
      <c r="AA325" s="13">
        <v>3</v>
      </c>
      <c r="AB325" s="13" t="s">
        <v>49</v>
      </c>
      <c r="AC325" s="13">
        <v>0</v>
      </c>
      <c r="AD325" s="13" t="s">
        <v>48</v>
      </c>
    </row>
    <row r="326" spans="1:30" ht="19.899999999999999" customHeight="1" x14ac:dyDescent="0.25">
      <c r="A326" s="5">
        <v>323</v>
      </c>
      <c r="B326" s="5" t="s">
        <v>33</v>
      </c>
      <c r="C326" s="5" t="s">
        <v>1857</v>
      </c>
      <c r="D326" s="5" t="s">
        <v>1780</v>
      </c>
      <c r="E326" s="5">
        <v>19921116</v>
      </c>
      <c r="F326" s="5" t="s">
        <v>36</v>
      </c>
      <c r="G326" s="5" t="s">
        <v>1858</v>
      </c>
      <c r="H326" s="5" t="s">
        <v>38</v>
      </c>
      <c r="I326" s="5" t="s">
        <v>1859</v>
      </c>
      <c r="J326" s="5" t="s">
        <v>1567</v>
      </c>
      <c r="K326" s="5" t="s">
        <v>1860</v>
      </c>
      <c r="L326" s="5" t="s">
        <v>1861</v>
      </c>
      <c r="M326" s="5" t="s">
        <v>1862</v>
      </c>
      <c r="N326" s="5" t="s">
        <v>1863</v>
      </c>
      <c r="O326" s="5" t="s">
        <v>38</v>
      </c>
      <c r="P326" s="5" t="s">
        <v>1864</v>
      </c>
      <c r="Q326" s="5" t="s">
        <v>1865</v>
      </c>
      <c r="R326" s="4">
        <v>46010</v>
      </c>
      <c r="S326" s="4"/>
      <c r="T326" s="5" t="s">
        <v>1821</v>
      </c>
      <c r="U326" s="5" t="str">
        <f>IF(J326=""," ",IF(ISNUMBER(SEARCH("소형",J326)),"소형","대형"))</f>
        <v>대형</v>
      </c>
      <c r="V326" s="4">
        <v>46266</v>
      </c>
      <c r="W326" s="8"/>
      <c r="X326" s="5"/>
      <c r="Y326" s="5"/>
    </row>
    <row r="327" spans="1:30" ht="19.899999999999999" customHeight="1" x14ac:dyDescent="0.25">
      <c r="A327" s="5">
        <v>324</v>
      </c>
      <c r="B327" s="5" t="s">
        <v>33</v>
      </c>
      <c r="C327" s="9" t="s">
        <v>1866</v>
      </c>
      <c r="D327" s="9" t="s">
        <v>1780</v>
      </c>
      <c r="E327" s="9">
        <v>19860718</v>
      </c>
      <c r="F327" s="5" t="s">
        <v>36</v>
      </c>
      <c r="G327" s="9" t="s">
        <v>1867</v>
      </c>
      <c r="H327" s="5" t="s">
        <v>38</v>
      </c>
      <c r="I327" s="9" t="s">
        <v>1868</v>
      </c>
      <c r="J327" s="5"/>
      <c r="K327" s="5"/>
      <c r="L327" s="9"/>
      <c r="M327" s="9"/>
      <c r="N327" s="9"/>
      <c r="O327" s="5"/>
      <c r="P327" s="5"/>
      <c r="Q327" s="9"/>
      <c r="R327" s="11"/>
      <c r="S327" s="11">
        <v>46143</v>
      </c>
      <c r="T327" s="9" t="s">
        <v>1869</v>
      </c>
      <c r="U327" s="5" t="str">
        <f>IF(J327=""," ",IF(ISNUMBER(SEARCH("소형",J327)),"소형","대형"))</f>
        <v xml:space="preserve"> </v>
      </c>
      <c r="V327" s="11">
        <v>46266</v>
      </c>
      <c r="W327" s="10"/>
      <c r="X327" s="9"/>
      <c r="Y327" s="9"/>
    </row>
    <row r="328" spans="1:30" ht="19.899999999999999" customHeight="1" x14ac:dyDescent="0.25">
      <c r="A328" s="5">
        <v>325</v>
      </c>
      <c r="B328" s="5" t="s">
        <v>33</v>
      </c>
      <c r="C328" s="5" t="s">
        <v>1870</v>
      </c>
      <c r="D328" s="5" t="s">
        <v>1780</v>
      </c>
      <c r="E328" s="5">
        <v>19910201</v>
      </c>
      <c r="F328" s="5" t="s">
        <v>36</v>
      </c>
      <c r="G328" s="5" t="s">
        <v>1871</v>
      </c>
      <c r="H328" s="5" t="s">
        <v>38</v>
      </c>
      <c r="I328" s="5" t="s">
        <v>1872</v>
      </c>
      <c r="J328" s="5" t="s">
        <v>1000</v>
      </c>
      <c r="K328" s="5" t="s">
        <v>88</v>
      </c>
      <c r="L328" s="5" t="s">
        <v>1873</v>
      </c>
      <c r="M328" s="5" t="s">
        <v>1874</v>
      </c>
      <c r="N328" s="5" t="s">
        <v>1875</v>
      </c>
      <c r="O328" s="5" t="s">
        <v>1828</v>
      </c>
      <c r="P328" s="5" t="s">
        <v>1850</v>
      </c>
      <c r="Q328" s="5" t="s">
        <v>1876</v>
      </c>
      <c r="R328" s="4">
        <v>45891</v>
      </c>
      <c r="S328" s="4"/>
      <c r="T328" s="5" t="s">
        <v>1821</v>
      </c>
      <c r="U328" s="5" t="str">
        <f>IF(J328=""," ",IF(ISNUMBER(SEARCH("소형",J328)),"소형","대형"))</f>
        <v>대형</v>
      </c>
      <c r="V328" s="4">
        <v>46266</v>
      </c>
      <c r="W328" s="8"/>
      <c r="X328" s="5"/>
      <c r="Y328" s="5"/>
    </row>
    <row r="329" spans="1:30" ht="19.899999999999999" customHeight="1" x14ac:dyDescent="0.25">
      <c r="A329" s="5">
        <v>326</v>
      </c>
      <c r="B329" s="5" t="s">
        <v>33</v>
      </c>
      <c r="C329" s="5" t="s">
        <v>1877</v>
      </c>
      <c r="D329" s="5" t="s">
        <v>1780</v>
      </c>
      <c r="E329" s="5">
        <v>19790712</v>
      </c>
      <c r="F329" s="5" t="s">
        <v>36</v>
      </c>
      <c r="G329" s="5" t="s">
        <v>1878</v>
      </c>
      <c r="H329" s="5" t="s">
        <v>38</v>
      </c>
      <c r="I329" s="5" t="s">
        <v>1879</v>
      </c>
      <c r="J329" s="5" t="s">
        <v>40</v>
      </c>
      <c r="K329" s="5" t="s">
        <v>76</v>
      </c>
      <c r="L329" s="19" t="s">
        <v>1343</v>
      </c>
      <c r="M329" s="19" t="s">
        <v>1344</v>
      </c>
      <c r="N329" s="19" t="s">
        <v>1345</v>
      </c>
      <c r="O329" s="19" t="s">
        <v>38</v>
      </c>
      <c r="P329" s="19" t="s">
        <v>512</v>
      </c>
      <c r="Q329" s="19" t="s">
        <v>1346</v>
      </c>
      <c r="R329" s="4">
        <v>46227</v>
      </c>
      <c r="S329" s="4">
        <v>46327</v>
      </c>
      <c r="T329" s="5" t="s">
        <v>1821</v>
      </c>
      <c r="U329" s="5" t="str">
        <f>IF(J329=""," ",IF(ISNUMBER(SEARCH("소형",J329)),"소형","대형"))</f>
        <v>대형</v>
      </c>
      <c r="V329" s="4">
        <v>46266</v>
      </c>
      <c r="W329" s="8"/>
      <c r="X329" s="5"/>
      <c r="Y329" s="5"/>
      <c r="Z329" s="13" t="s">
        <v>47</v>
      </c>
      <c r="AA329" s="13">
        <v>2</v>
      </c>
      <c r="AB329" s="13" t="s">
        <v>49</v>
      </c>
      <c r="AC329" s="13">
        <v>0</v>
      </c>
      <c r="AD329">
        <v>0</v>
      </c>
    </row>
    <row r="330" spans="1:30" ht="19.899999999999999" customHeight="1" x14ac:dyDescent="0.25"/>
  </sheetData>
  <autoFilter ref="A3:Y329" xr:uid="{00000000-0009-0000-0000-000000000000}">
    <sortState xmlns:xlrd2="http://schemas.microsoft.com/office/spreadsheetml/2017/richdata2" ref="A4:Y308">
      <sortCondition ref="B3:B308"/>
    </sortState>
  </autoFilter>
  <mergeCells count="1">
    <mergeCell ref="A1:W2"/>
  </mergeCells>
  <dataValidations count="1">
    <dataValidation type="list" showInputMessage="1" showErrorMessage="1" sqref="P4:P329" xr:uid="{00000000-0002-0000-0000-000000000000}">
      <formula1>INDIRECT(O4)</formula1>
    </dataValidation>
  </dataValidations>
  <hyperlinks>
    <hyperlink ref="N310" r:id="rId1" xr:uid="{00000000-0004-0000-0000-000000000000}"/>
    <hyperlink ref="N319" r:id="rId2" xr:uid="{00000000-0004-0000-0000-000001000000}"/>
  </hyperlink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7"/>
  <sheetViews>
    <sheetView topLeftCell="A10" workbookViewId="0">
      <selection activeCell="J83" sqref="J83"/>
    </sheetView>
  </sheetViews>
  <sheetFormatPr defaultRowHeight="16.5" x14ac:dyDescent="0.25"/>
  <sheetData>
    <row r="1" spans="1:12" x14ac:dyDescent="0.25">
      <c r="A1" s="59" t="s">
        <v>1880</v>
      </c>
      <c r="B1" s="58"/>
      <c r="C1" s="58"/>
      <c r="D1" s="58"/>
      <c r="E1" s="58"/>
      <c r="F1" s="58"/>
      <c r="G1" s="58"/>
      <c r="H1" s="58"/>
    </row>
    <row r="2" spans="1:12" x14ac:dyDescent="0.3">
      <c r="A2" s="23" t="s">
        <v>1881</v>
      </c>
      <c r="B2" s="24" t="s">
        <v>1078</v>
      </c>
      <c r="C2" s="25" t="s">
        <v>258</v>
      </c>
      <c r="D2" s="26" t="s">
        <v>1882</v>
      </c>
      <c r="E2" s="27" t="s">
        <v>1883</v>
      </c>
      <c r="F2" s="28" t="s">
        <v>1884</v>
      </c>
      <c r="G2" s="44" t="s">
        <v>32</v>
      </c>
      <c r="H2" s="23" t="s">
        <v>1885</v>
      </c>
      <c r="I2" s="23" t="s">
        <v>1886</v>
      </c>
    </row>
    <row r="3" spans="1:12" x14ac:dyDescent="0.3">
      <c r="A3" s="30" t="s">
        <v>1887</v>
      </c>
      <c r="B3" s="31">
        <v>56</v>
      </c>
      <c r="C3" s="31">
        <v>82</v>
      </c>
      <c r="D3" s="31">
        <v>6</v>
      </c>
      <c r="E3" s="31">
        <v>9</v>
      </c>
      <c r="F3" s="31">
        <v>34</v>
      </c>
      <c r="G3" s="31">
        <v>11</v>
      </c>
      <c r="H3" s="31">
        <v>198</v>
      </c>
      <c r="I3" s="31" t="s">
        <v>1888</v>
      </c>
    </row>
    <row r="4" spans="1:12" x14ac:dyDescent="0.3">
      <c r="A4" s="32" t="s">
        <v>1886</v>
      </c>
      <c r="B4" s="48">
        <v>0.27835051546391748</v>
      </c>
      <c r="C4" s="48">
        <v>0.41237113402061848</v>
      </c>
      <c r="D4" s="48">
        <v>3.0927835051546389E-2</v>
      </c>
      <c r="E4" s="48">
        <v>4.6391752577319589E-2</v>
      </c>
      <c r="F4" s="48">
        <v>0.1752577319587629</v>
      </c>
      <c r="G4" s="48">
        <v>5.6701030927835051E-2</v>
      </c>
    </row>
    <row r="7" spans="1:12" x14ac:dyDescent="0.25">
      <c r="A7" s="57" t="s">
        <v>1889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</row>
    <row r="8" spans="1:12" x14ac:dyDescent="0.3">
      <c r="A8" s="23" t="s">
        <v>1890</v>
      </c>
      <c r="B8" s="23" t="s">
        <v>1891</v>
      </c>
      <c r="C8" s="23" t="s">
        <v>1892</v>
      </c>
      <c r="D8" s="23" t="s">
        <v>1893</v>
      </c>
      <c r="E8" s="24" t="s">
        <v>1078</v>
      </c>
      <c r="F8" s="25" t="s">
        <v>258</v>
      </c>
      <c r="G8" s="26" t="s">
        <v>1882</v>
      </c>
      <c r="H8" s="27" t="s">
        <v>1883</v>
      </c>
      <c r="I8" s="28" t="s">
        <v>1884</v>
      </c>
      <c r="J8" s="29" t="s">
        <v>32</v>
      </c>
      <c r="K8" s="23" t="s">
        <v>1894</v>
      </c>
      <c r="L8" s="23" t="s">
        <v>21</v>
      </c>
    </row>
    <row r="9" spans="1:12" ht="26.45" customHeight="1" x14ac:dyDescent="0.3">
      <c r="A9" s="33" t="s">
        <v>1895</v>
      </c>
      <c r="B9" s="34" t="s">
        <v>1896</v>
      </c>
      <c r="C9" s="33" t="s">
        <v>814</v>
      </c>
      <c r="D9" s="34"/>
      <c r="E9" s="33">
        <v>1</v>
      </c>
      <c r="F9" s="33">
        <v>1</v>
      </c>
      <c r="G9" s="33">
        <v>0</v>
      </c>
      <c r="H9" s="33">
        <v>0</v>
      </c>
      <c r="I9" s="33">
        <v>0</v>
      </c>
      <c r="J9" s="33">
        <v>0</v>
      </c>
      <c r="K9" s="31">
        <v>2</v>
      </c>
      <c r="L9" s="35"/>
    </row>
    <row r="10" spans="1:12" ht="26.45" customHeight="1" x14ac:dyDescent="0.3">
      <c r="A10" s="33" t="s">
        <v>1895</v>
      </c>
      <c r="B10" s="34" t="s">
        <v>1897</v>
      </c>
      <c r="C10" s="33" t="s">
        <v>649</v>
      </c>
      <c r="D10" s="34"/>
      <c r="E10" s="33">
        <v>1</v>
      </c>
      <c r="F10" s="33">
        <v>1</v>
      </c>
      <c r="G10" s="33">
        <v>0</v>
      </c>
      <c r="H10" s="33">
        <v>0</v>
      </c>
      <c r="I10" s="33">
        <v>1</v>
      </c>
      <c r="J10" s="33">
        <v>0</v>
      </c>
      <c r="K10" s="31">
        <v>3</v>
      </c>
      <c r="L10" s="35"/>
    </row>
    <row r="11" spans="1:12" ht="105.6" customHeight="1" x14ac:dyDescent="0.3">
      <c r="A11" s="33" t="s">
        <v>1895</v>
      </c>
      <c r="B11" s="34" t="s">
        <v>1898</v>
      </c>
      <c r="C11" s="33" t="s">
        <v>649</v>
      </c>
      <c r="D11" s="34"/>
      <c r="E11" s="33">
        <v>1</v>
      </c>
      <c r="F11" s="33">
        <v>1</v>
      </c>
      <c r="G11" s="33">
        <v>0</v>
      </c>
      <c r="H11" s="33">
        <v>0</v>
      </c>
      <c r="I11" s="33">
        <v>1</v>
      </c>
      <c r="J11" s="33">
        <v>0</v>
      </c>
      <c r="K11" s="31">
        <v>3</v>
      </c>
    </row>
    <row r="12" spans="1:12" ht="26.45" customHeight="1" x14ac:dyDescent="0.3">
      <c r="A12" s="36" t="s">
        <v>1899</v>
      </c>
      <c r="B12" s="37"/>
      <c r="C12" s="37"/>
      <c r="D12" s="37"/>
      <c r="E12" s="36">
        <f>SUM(E9:E11)</f>
        <v>3</v>
      </c>
      <c r="F12" s="36">
        <f>SUM(F9:F11)</f>
        <v>3</v>
      </c>
      <c r="G12" s="36">
        <f>SUM(G9:G11)</f>
        <v>0</v>
      </c>
      <c r="H12" s="36">
        <f>SUM(H9:H11)</f>
        <v>0</v>
      </c>
      <c r="I12" s="36">
        <f>SUM(I9:I11)</f>
        <v>2</v>
      </c>
      <c r="J12" s="36">
        <f>SUM(J9:J11)</f>
        <v>0</v>
      </c>
      <c r="K12" s="36">
        <f>SUM(K9:K11)</f>
        <v>8</v>
      </c>
      <c r="L12" s="37"/>
    </row>
    <row r="13" spans="1:12" x14ac:dyDescent="0.25">
      <c r="E13" s="49">
        <v>0.375</v>
      </c>
      <c r="F13" s="49">
        <v>0.375</v>
      </c>
      <c r="G13" s="49">
        <v>0</v>
      </c>
      <c r="H13" s="49">
        <v>0</v>
      </c>
      <c r="I13" s="49">
        <v>0.25</v>
      </c>
      <c r="J13" s="49">
        <v>0</v>
      </c>
      <c r="K13" s="43">
        <v>1</v>
      </c>
    </row>
    <row r="14" spans="1:12" ht="26.45" customHeight="1" x14ac:dyDescent="0.3">
      <c r="A14" s="33" t="s">
        <v>1900</v>
      </c>
      <c r="B14" s="34" t="s">
        <v>1901</v>
      </c>
      <c r="C14" s="33" t="s">
        <v>408</v>
      </c>
      <c r="D14" s="34"/>
      <c r="E14" s="33">
        <v>2</v>
      </c>
      <c r="F14" s="33">
        <v>4</v>
      </c>
      <c r="G14" s="33">
        <v>0</v>
      </c>
      <c r="H14" s="33">
        <v>0</v>
      </c>
      <c r="I14" s="33">
        <v>2</v>
      </c>
      <c r="J14" s="33">
        <v>0</v>
      </c>
      <c r="K14" s="31">
        <v>8</v>
      </c>
      <c r="L14" s="35"/>
    </row>
    <row r="15" spans="1:12" ht="39.6" customHeight="1" x14ac:dyDescent="0.3">
      <c r="A15" s="33" t="s">
        <v>1900</v>
      </c>
      <c r="B15" s="34" t="s">
        <v>1902</v>
      </c>
      <c r="C15" s="33" t="s">
        <v>75</v>
      </c>
      <c r="D15" s="34"/>
      <c r="E15" s="33">
        <v>2</v>
      </c>
      <c r="F15" s="33">
        <v>2</v>
      </c>
      <c r="G15" s="33">
        <v>1</v>
      </c>
      <c r="H15" s="33">
        <v>1</v>
      </c>
      <c r="I15" s="33">
        <v>0</v>
      </c>
      <c r="J15" s="33">
        <v>0</v>
      </c>
      <c r="K15" s="31">
        <v>6</v>
      </c>
      <c r="L15" s="35"/>
    </row>
    <row r="16" spans="1:12" ht="39.6" customHeight="1" x14ac:dyDescent="0.3">
      <c r="A16" s="33" t="s">
        <v>1900</v>
      </c>
      <c r="B16" s="34" t="s">
        <v>1903</v>
      </c>
      <c r="C16" s="33" t="s">
        <v>87</v>
      </c>
      <c r="D16" s="34"/>
      <c r="E16" s="33">
        <v>1</v>
      </c>
      <c r="F16" s="33">
        <v>2</v>
      </c>
      <c r="G16" s="33">
        <v>0</v>
      </c>
      <c r="H16" s="33">
        <v>1</v>
      </c>
      <c r="I16" s="33">
        <v>1</v>
      </c>
      <c r="J16" s="33">
        <v>0</v>
      </c>
      <c r="K16" s="31">
        <v>5</v>
      </c>
      <c r="L16" s="35"/>
    </row>
    <row r="17" spans="1:13" ht="26.45" customHeight="1" x14ac:dyDescent="0.3">
      <c r="A17" s="33" t="s">
        <v>1900</v>
      </c>
      <c r="B17" s="34" t="s">
        <v>1904</v>
      </c>
      <c r="C17" s="33" t="s">
        <v>1455</v>
      </c>
      <c r="D17" s="34"/>
      <c r="E17" s="33">
        <v>1</v>
      </c>
      <c r="F17" s="33">
        <v>1</v>
      </c>
      <c r="G17" s="33">
        <v>0</v>
      </c>
      <c r="H17" s="33">
        <v>0</v>
      </c>
      <c r="I17" s="33">
        <v>1</v>
      </c>
      <c r="J17" s="33">
        <v>0</v>
      </c>
      <c r="K17" s="31">
        <v>3</v>
      </c>
      <c r="L17" s="35"/>
    </row>
    <row r="18" spans="1:13" ht="39.6" customHeight="1" x14ac:dyDescent="0.3">
      <c r="A18" s="33" t="s">
        <v>1900</v>
      </c>
      <c r="B18" s="34" t="s">
        <v>1905</v>
      </c>
      <c r="C18" s="33" t="s">
        <v>159</v>
      </c>
      <c r="D18" s="34"/>
      <c r="E18" s="33">
        <v>2</v>
      </c>
      <c r="F18" s="33">
        <v>3</v>
      </c>
      <c r="G18" s="33">
        <v>0</v>
      </c>
      <c r="H18" s="33">
        <v>0</v>
      </c>
      <c r="I18" s="33">
        <v>1</v>
      </c>
      <c r="J18" s="33">
        <v>0</v>
      </c>
      <c r="K18" s="31">
        <v>6</v>
      </c>
      <c r="L18" s="35"/>
    </row>
    <row r="19" spans="1:13" ht="39.6" customHeight="1" x14ac:dyDescent="0.3">
      <c r="A19" s="33" t="s">
        <v>1900</v>
      </c>
      <c r="B19" s="34" t="s">
        <v>1906</v>
      </c>
      <c r="C19" s="33" t="s">
        <v>198</v>
      </c>
      <c r="D19" s="34"/>
      <c r="E19" s="33">
        <v>1</v>
      </c>
      <c r="F19" s="33">
        <v>2</v>
      </c>
      <c r="G19" s="33">
        <v>0</v>
      </c>
      <c r="H19" s="33">
        <v>1</v>
      </c>
      <c r="I19" s="33">
        <v>0</v>
      </c>
      <c r="J19" s="33">
        <v>0</v>
      </c>
      <c r="K19" s="31">
        <v>4</v>
      </c>
      <c r="L19" s="35"/>
    </row>
    <row r="20" spans="1:13" ht="39.6" customHeight="1" x14ac:dyDescent="0.3">
      <c r="A20" s="33" t="s">
        <v>1900</v>
      </c>
      <c r="B20" s="34" t="s">
        <v>1907</v>
      </c>
      <c r="C20" s="33" t="s">
        <v>1567</v>
      </c>
      <c r="D20" s="34"/>
      <c r="E20" s="33">
        <v>1</v>
      </c>
      <c r="F20" s="33">
        <v>2</v>
      </c>
      <c r="G20" s="33">
        <v>0</v>
      </c>
      <c r="H20" s="33">
        <v>0</v>
      </c>
      <c r="I20" s="33">
        <v>1</v>
      </c>
      <c r="J20" s="33">
        <v>0</v>
      </c>
      <c r="K20" s="31">
        <v>4</v>
      </c>
      <c r="L20" s="35"/>
    </row>
    <row r="21" spans="1:13" ht="26.45" customHeight="1" x14ac:dyDescent="0.3">
      <c r="A21" s="33" t="s">
        <v>1900</v>
      </c>
      <c r="B21" s="34" t="s">
        <v>1908</v>
      </c>
      <c r="C21" s="33" t="s">
        <v>598</v>
      </c>
      <c r="D21" s="34"/>
      <c r="E21" s="33">
        <v>2</v>
      </c>
      <c r="F21" s="33">
        <v>3</v>
      </c>
      <c r="G21" s="33">
        <v>1</v>
      </c>
      <c r="H21" s="33">
        <v>0</v>
      </c>
      <c r="I21" s="33">
        <v>1</v>
      </c>
      <c r="J21" s="33">
        <v>0</v>
      </c>
      <c r="K21" s="31">
        <v>7</v>
      </c>
      <c r="L21" s="35"/>
    </row>
    <row r="22" spans="1:13" ht="26.45" customHeight="1" x14ac:dyDescent="0.3">
      <c r="A22" s="33" t="s">
        <v>1900</v>
      </c>
      <c r="B22" s="34" t="s">
        <v>1909</v>
      </c>
      <c r="C22" s="33" t="s">
        <v>990</v>
      </c>
      <c r="D22" s="34"/>
      <c r="E22" s="33">
        <v>1</v>
      </c>
      <c r="F22" s="33">
        <v>2</v>
      </c>
      <c r="G22" s="33">
        <v>0</v>
      </c>
      <c r="H22" s="33">
        <v>0</v>
      </c>
      <c r="I22" s="33">
        <v>1</v>
      </c>
      <c r="J22" s="33">
        <v>0</v>
      </c>
      <c r="K22" s="31">
        <v>4</v>
      </c>
      <c r="L22" s="35"/>
    </row>
    <row r="23" spans="1:13" ht="26.45" customHeight="1" x14ac:dyDescent="0.3">
      <c r="A23" s="33" t="s">
        <v>1900</v>
      </c>
      <c r="B23" s="34" t="s">
        <v>1910</v>
      </c>
      <c r="C23" s="33" t="s">
        <v>1598</v>
      </c>
      <c r="D23" s="34"/>
      <c r="E23" s="33">
        <v>0</v>
      </c>
      <c r="F23" s="33">
        <v>1</v>
      </c>
      <c r="G23" s="33">
        <v>0</v>
      </c>
      <c r="H23" s="33">
        <v>0</v>
      </c>
      <c r="I23" s="33">
        <v>1</v>
      </c>
      <c r="J23" s="33">
        <v>0</v>
      </c>
      <c r="K23" s="31">
        <v>2</v>
      </c>
      <c r="L23" s="35"/>
    </row>
    <row r="24" spans="1:13" ht="26.45" customHeight="1" x14ac:dyDescent="0.3">
      <c r="A24" s="33" t="s">
        <v>1900</v>
      </c>
      <c r="B24" s="34" t="s">
        <v>1911</v>
      </c>
      <c r="C24" s="33" t="s">
        <v>307</v>
      </c>
      <c r="D24" s="34"/>
      <c r="E24" s="33">
        <v>0</v>
      </c>
      <c r="F24" s="33">
        <v>2</v>
      </c>
      <c r="G24" s="33">
        <v>0</v>
      </c>
      <c r="H24" s="33">
        <v>1</v>
      </c>
      <c r="I24" s="33">
        <v>1</v>
      </c>
      <c r="J24" s="33">
        <v>0</v>
      </c>
      <c r="K24" s="31">
        <v>4</v>
      </c>
      <c r="L24" s="35"/>
    </row>
    <row r="25" spans="1:13" ht="26.45" customHeight="1" x14ac:dyDescent="0.3">
      <c r="A25" s="33" t="s">
        <v>1900</v>
      </c>
      <c r="B25" s="38" t="s">
        <v>1912</v>
      </c>
      <c r="C25" s="33" t="s">
        <v>1913</v>
      </c>
      <c r="D25" s="34"/>
      <c r="E25" s="33">
        <v>1</v>
      </c>
      <c r="F25" s="33">
        <v>2</v>
      </c>
      <c r="G25" s="33">
        <v>0</v>
      </c>
      <c r="H25" s="33">
        <v>0</v>
      </c>
      <c r="I25" s="33">
        <v>1</v>
      </c>
      <c r="J25" s="33">
        <v>0</v>
      </c>
      <c r="K25" s="31">
        <v>4</v>
      </c>
      <c r="L25" s="35"/>
    </row>
    <row r="26" spans="1:13" ht="39.6" customHeight="1" x14ac:dyDescent="0.3">
      <c r="A26" s="33" t="s">
        <v>1900</v>
      </c>
      <c r="B26" s="34" t="s">
        <v>1914</v>
      </c>
      <c r="C26" s="33" t="s">
        <v>1000</v>
      </c>
      <c r="D26" s="34"/>
      <c r="E26" s="33">
        <v>1</v>
      </c>
      <c r="F26" s="33">
        <v>2</v>
      </c>
      <c r="G26" s="33">
        <v>0</v>
      </c>
      <c r="H26" s="33">
        <v>0</v>
      </c>
      <c r="I26" s="33">
        <v>0</v>
      </c>
      <c r="J26" s="33">
        <v>0</v>
      </c>
      <c r="K26" s="31">
        <v>3</v>
      </c>
    </row>
    <row r="27" spans="1:13" ht="79.150000000000006" customHeight="1" x14ac:dyDescent="0.3">
      <c r="A27" s="33" t="s">
        <v>1900</v>
      </c>
      <c r="B27" s="34" t="s">
        <v>1044</v>
      </c>
      <c r="C27" s="33" t="s">
        <v>87</v>
      </c>
      <c r="D27" s="34" t="s">
        <v>1915</v>
      </c>
      <c r="E27" s="33">
        <v>2</v>
      </c>
      <c r="F27" s="33">
        <v>2</v>
      </c>
      <c r="G27" s="33">
        <v>0</v>
      </c>
      <c r="H27" s="33">
        <v>0</v>
      </c>
      <c r="I27" s="33">
        <v>0</v>
      </c>
      <c r="J27" s="33">
        <v>2</v>
      </c>
      <c r="K27" s="31">
        <v>6</v>
      </c>
    </row>
    <row r="28" spans="1:13" ht="26.45" customHeight="1" x14ac:dyDescent="0.3">
      <c r="A28" s="36" t="s">
        <v>1916</v>
      </c>
      <c r="B28" s="37"/>
      <c r="C28" s="37"/>
      <c r="D28" s="37"/>
      <c r="E28" s="36">
        <f>SUM(E14:E27)</f>
        <v>17</v>
      </c>
      <c r="F28" s="36">
        <f>SUM(F14:F27)</f>
        <v>30</v>
      </c>
      <c r="G28" s="36">
        <f>SUM(G14:G27)</f>
        <v>2</v>
      </c>
      <c r="H28" s="36">
        <f>SUM(H14:H27)</f>
        <v>4</v>
      </c>
      <c r="I28" s="36">
        <f>SUM(I14:I27)</f>
        <v>11</v>
      </c>
      <c r="J28" s="36">
        <f>SUM(J14:J27)</f>
        <v>2</v>
      </c>
      <c r="K28" s="36">
        <f>SUM(K14:K27)</f>
        <v>66</v>
      </c>
      <c r="L28" s="37"/>
    </row>
    <row r="29" spans="1:13" x14ac:dyDescent="0.25">
      <c r="E29" s="49">
        <v>0.2424242424242424</v>
      </c>
      <c r="F29" s="49">
        <v>0.43939393939393939</v>
      </c>
      <c r="G29" s="49">
        <v>3.03030303030303E-2</v>
      </c>
      <c r="H29" s="49">
        <v>6.0606060606060608E-2</v>
      </c>
      <c r="I29" s="49">
        <v>0.16666666666666671</v>
      </c>
      <c r="J29" s="49">
        <v>6.0606060606060608E-2</v>
      </c>
      <c r="K29" s="43">
        <v>1</v>
      </c>
      <c r="M29" s="50"/>
    </row>
    <row r="30" spans="1:13" ht="39.6" customHeight="1" x14ac:dyDescent="0.3">
      <c r="A30" s="33" t="s">
        <v>1917</v>
      </c>
      <c r="B30" s="34" t="s">
        <v>1918</v>
      </c>
      <c r="C30" s="33" t="s">
        <v>127</v>
      </c>
      <c r="D30" s="34"/>
      <c r="E30" s="33">
        <v>1</v>
      </c>
      <c r="F30" s="33">
        <v>1</v>
      </c>
      <c r="G30" s="33">
        <v>0</v>
      </c>
      <c r="H30" s="33">
        <v>0</v>
      </c>
      <c r="I30" s="33">
        <v>1</v>
      </c>
      <c r="J30" s="33">
        <v>0</v>
      </c>
      <c r="K30" s="31">
        <v>3</v>
      </c>
      <c r="L30" s="35"/>
    </row>
    <row r="31" spans="1:13" ht="66" customHeight="1" x14ac:dyDescent="0.3">
      <c r="A31" s="33" t="s">
        <v>1917</v>
      </c>
      <c r="B31" s="34" t="s">
        <v>1219</v>
      </c>
      <c r="C31" s="33" t="s">
        <v>1218</v>
      </c>
      <c r="D31" s="39"/>
      <c r="E31" s="33">
        <v>1</v>
      </c>
      <c r="F31" s="33">
        <v>1</v>
      </c>
      <c r="G31" s="33">
        <v>0</v>
      </c>
      <c r="H31" s="33">
        <v>0</v>
      </c>
      <c r="I31" s="33">
        <v>1</v>
      </c>
      <c r="J31" s="33">
        <v>2</v>
      </c>
      <c r="K31" s="31">
        <v>5</v>
      </c>
      <c r="L31" s="35"/>
    </row>
    <row r="32" spans="1:13" ht="26.45" customHeight="1" x14ac:dyDescent="0.3">
      <c r="A32" s="36" t="s">
        <v>1919</v>
      </c>
      <c r="B32" s="37"/>
      <c r="C32" s="37"/>
      <c r="D32" s="37"/>
      <c r="E32" s="36">
        <f>SUM(E30:E31)</f>
        <v>2</v>
      </c>
      <c r="F32" s="36">
        <f>SUM(F30:F31)</f>
        <v>2</v>
      </c>
      <c r="G32" s="36">
        <f>SUM(G30:G31)</f>
        <v>0</v>
      </c>
      <c r="H32" s="36">
        <f>SUM(H30:H31)</f>
        <v>0</v>
      </c>
      <c r="I32" s="36">
        <f>SUM(I30:I31)</f>
        <v>2</v>
      </c>
      <c r="J32" s="36">
        <f>SUM(J30:J31)</f>
        <v>2</v>
      </c>
      <c r="K32" s="36">
        <f>SUM(K30:K31)</f>
        <v>8</v>
      </c>
      <c r="L32" s="37"/>
    </row>
    <row r="33" spans="1:12" x14ac:dyDescent="0.25">
      <c r="E33" s="49">
        <v>0.25</v>
      </c>
      <c r="F33" s="49">
        <v>0.25</v>
      </c>
      <c r="G33" s="49">
        <v>0</v>
      </c>
      <c r="H33" s="49">
        <v>0</v>
      </c>
      <c r="I33" s="49">
        <v>0.25</v>
      </c>
      <c r="J33" s="49">
        <v>0.25</v>
      </c>
      <c r="K33" s="43">
        <v>1</v>
      </c>
    </row>
    <row r="34" spans="1:12" ht="26.45" customHeight="1" x14ac:dyDescent="0.3">
      <c r="A34" s="40" t="s">
        <v>1920</v>
      </c>
      <c r="B34" s="41" t="s">
        <v>1921</v>
      </c>
      <c r="C34" s="40" t="s">
        <v>1786</v>
      </c>
      <c r="D34" s="42" t="s">
        <v>1922</v>
      </c>
      <c r="E34" s="35">
        <v>0</v>
      </c>
      <c r="F34" s="35">
        <v>2</v>
      </c>
      <c r="G34" s="35">
        <v>0</v>
      </c>
      <c r="H34" s="35">
        <v>0</v>
      </c>
      <c r="I34" s="35">
        <v>0</v>
      </c>
      <c r="J34" s="35">
        <v>2</v>
      </c>
      <c r="K34" s="31">
        <v>0</v>
      </c>
      <c r="L34" s="40" t="s">
        <v>1923</v>
      </c>
    </row>
    <row r="35" spans="1:12" ht="26.45" customHeight="1" x14ac:dyDescent="0.3">
      <c r="A35" s="33" t="s">
        <v>1920</v>
      </c>
      <c r="B35" s="34" t="s">
        <v>1924</v>
      </c>
      <c r="C35" s="33" t="s">
        <v>1567</v>
      </c>
      <c r="D35" s="34"/>
      <c r="E35" s="33">
        <v>1</v>
      </c>
      <c r="F35" s="33">
        <v>1</v>
      </c>
      <c r="G35" s="33">
        <v>0</v>
      </c>
      <c r="H35" s="33">
        <v>0</v>
      </c>
      <c r="I35" s="33">
        <v>0</v>
      </c>
      <c r="J35" s="33">
        <v>0</v>
      </c>
      <c r="K35" s="31">
        <v>2</v>
      </c>
      <c r="L35" s="35"/>
    </row>
    <row r="36" spans="1:12" ht="26.45" customHeight="1" x14ac:dyDescent="0.25">
      <c r="A36" t="s">
        <v>1920</v>
      </c>
      <c r="B36" t="s">
        <v>1925</v>
      </c>
      <c r="C36" t="s">
        <v>211</v>
      </c>
      <c r="E36">
        <v>1</v>
      </c>
      <c r="F36">
        <v>1</v>
      </c>
      <c r="J36">
        <v>2</v>
      </c>
      <c r="K36">
        <v>4</v>
      </c>
    </row>
    <row r="37" spans="1:12" ht="30" x14ac:dyDescent="0.3">
      <c r="A37" s="36" t="s">
        <v>1926</v>
      </c>
      <c r="B37" s="37"/>
      <c r="C37" s="37"/>
      <c r="D37" s="37"/>
      <c r="E37" s="36">
        <f>SUM(E35:E36)</f>
        <v>2</v>
      </c>
      <c r="F37" s="36">
        <f>SUM(F35:F36)</f>
        <v>2</v>
      </c>
      <c r="G37" s="36">
        <f>SUM(G33:G34)-G33</f>
        <v>0</v>
      </c>
      <c r="H37" s="36">
        <f>SUM(H33:H34)-H33</f>
        <v>0</v>
      </c>
      <c r="I37" s="36">
        <f>SUM(I33:I34)-I33</f>
        <v>0</v>
      </c>
      <c r="J37" s="36">
        <f>SUM(J35:J36)</f>
        <v>2</v>
      </c>
      <c r="K37" s="36">
        <f>SUM(K35:K36)</f>
        <v>6</v>
      </c>
      <c r="L37" s="37"/>
    </row>
    <row r="38" spans="1:12" ht="26.45" customHeight="1" x14ac:dyDescent="0.25">
      <c r="E38" s="49">
        <v>0.5</v>
      </c>
      <c r="F38" s="49">
        <v>0.5</v>
      </c>
      <c r="G38" s="49">
        <v>0</v>
      </c>
      <c r="H38" s="49">
        <v>0</v>
      </c>
      <c r="I38" s="49">
        <v>0</v>
      </c>
      <c r="J38" s="49">
        <v>0</v>
      </c>
      <c r="K38" s="43">
        <v>1</v>
      </c>
    </row>
    <row r="39" spans="1:12" ht="52.9" customHeight="1" x14ac:dyDescent="0.3">
      <c r="A39" s="33" t="s">
        <v>1927</v>
      </c>
      <c r="B39" s="34" t="s">
        <v>1928</v>
      </c>
      <c r="C39" s="33" t="s">
        <v>1929</v>
      </c>
      <c r="D39" s="34"/>
      <c r="E39" s="33">
        <v>1</v>
      </c>
      <c r="F39" s="33">
        <v>1</v>
      </c>
      <c r="G39" s="33">
        <v>0</v>
      </c>
      <c r="H39" s="33">
        <v>1</v>
      </c>
      <c r="I39" s="33">
        <v>0</v>
      </c>
      <c r="J39" s="33">
        <v>0</v>
      </c>
      <c r="K39" s="31">
        <v>3</v>
      </c>
      <c r="L39" s="35"/>
    </row>
    <row r="40" spans="1:12" ht="52.9" customHeight="1" x14ac:dyDescent="0.3">
      <c r="A40" s="33" t="s">
        <v>1927</v>
      </c>
      <c r="B40" s="34" t="s">
        <v>1930</v>
      </c>
      <c r="C40" s="33" t="s">
        <v>880</v>
      </c>
      <c r="D40" s="34"/>
      <c r="E40" s="33">
        <v>1</v>
      </c>
      <c r="F40" s="33">
        <v>1</v>
      </c>
      <c r="G40" s="33">
        <v>0</v>
      </c>
      <c r="H40" s="33">
        <v>0</v>
      </c>
      <c r="I40" s="33">
        <v>0</v>
      </c>
      <c r="J40" s="33">
        <v>0</v>
      </c>
      <c r="K40" s="31">
        <v>2</v>
      </c>
      <c r="L40" s="35"/>
    </row>
    <row r="41" spans="1:12" ht="26.45" customHeight="1" x14ac:dyDescent="0.3">
      <c r="A41" s="33" t="s">
        <v>1927</v>
      </c>
      <c r="B41" s="34" t="s">
        <v>1931</v>
      </c>
      <c r="C41" s="33" t="s">
        <v>1000</v>
      </c>
      <c r="D41" s="34"/>
      <c r="E41" s="33">
        <v>1</v>
      </c>
      <c r="F41" s="33">
        <v>1</v>
      </c>
      <c r="G41" s="33">
        <v>0</v>
      </c>
      <c r="H41" s="33">
        <v>0</v>
      </c>
      <c r="I41" s="33">
        <v>0</v>
      </c>
      <c r="J41" s="33">
        <v>0</v>
      </c>
      <c r="K41" s="31">
        <v>2</v>
      </c>
      <c r="L41" s="35"/>
    </row>
    <row r="42" spans="1:12" ht="26.45" customHeight="1" x14ac:dyDescent="0.3">
      <c r="A42" s="33" t="s">
        <v>1927</v>
      </c>
      <c r="B42" s="34" t="s">
        <v>1932</v>
      </c>
      <c r="C42" s="33" t="s">
        <v>137</v>
      </c>
      <c r="D42" s="34"/>
      <c r="E42" s="33">
        <v>1</v>
      </c>
      <c r="F42" s="33">
        <v>1</v>
      </c>
      <c r="G42" s="33">
        <v>0</v>
      </c>
      <c r="H42" s="33">
        <v>0</v>
      </c>
      <c r="I42" s="33">
        <v>2</v>
      </c>
      <c r="J42" s="33">
        <v>0</v>
      </c>
      <c r="K42" s="31">
        <v>4</v>
      </c>
      <c r="L42" s="35"/>
    </row>
    <row r="43" spans="1:12" ht="66" customHeight="1" x14ac:dyDescent="0.3">
      <c r="A43" s="33" t="s">
        <v>1927</v>
      </c>
      <c r="B43" s="34" t="s">
        <v>1933</v>
      </c>
      <c r="C43" s="33" t="s">
        <v>1145</v>
      </c>
      <c r="D43" s="42"/>
      <c r="E43" s="33">
        <v>0</v>
      </c>
      <c r="F43" s="33">
        <v>2</v>
      </c>
      <c r="G43" s="33">
        <v>0</v>
      </c>
      <c r="H43" s="33">
        <v>0</v>
      </c>
      <c r="I43" s="33">
        <v>1</v>
      </c>
      <c r="J43" s="33">
        <v>0</v>
      </c>
      <c r="K43" s="31">
        <v>3</v>
      </c>
      <c r="L43" s="35"/>
    </row>
    <row r="44" spans="1:12" ht="39.6" customHeight="1" x14ac:dyDescent="0.3">
      <c r="A44" s="33" t="s">
        <v>1927</v>
      </c>
      <c r="B44" s="34" t="s">
        <v>1934</v>
      </c>
      <c r="C44" s="33" t="s">
        <v>307</v>
      </c>
      <c r="D44" s="34"/>
      <c r="E44" s="33">
        <v>1</v>
      </c>
      <c r="F44" s="33">
        <v>2</v>
      </c>
      <c r="G44" s="33">
        <v>0</v>
      </c>
      <c r="H44" s="33">
        <v>0</v>
      </c>
      <c r="I44" s="33">
        <v>2</v>
      </c>
      <c r="J44" s="33">
        <v>0</v>
      </c>
      <c r="K44" s="31">
        <v>5</v>
      </c>
      <c r="L44" s="35"/>
    </row>
    <row r="45" spans="1:12" ht="52.9" customHeight="1" x14ac:dyDescent="0.3">
      <c r="A45" s="33" t="s">
        <v>1927</v>
      </c>
      <c r="B45" s="34" t="s">
        <v>585</v>
      </c>
      <c r="C45" s="33" t="s">
        <v>584</v>
      </c>
      <c r="D45" s="34"/>
      <c r="E45" s="33">
        <v>1</v>
      </c>
      <c r="F45" s="33">
        <v>1</v>
      </c>
      <c r="G45" s="33">
        <v>0</v>
      </c>
      <c r="H45" s="33">
        <v>0</v>
      </c>
      <c r="I45" s="33">
        <v>0</v>
      </c>
      <c r="J45" s="33">
        <v>0</v>
      </c>
      <c r="K45" s="31">
        <v>2</v>
      </c>
      <c r="L45" s="35"/>
    </row>
    <row r="46" spans="1:12" ht="26.45" customHeight="1" x14ac:dyDescent="0.3">
      <c r="A46" s="33" t="s">
        <v>1927</v>
      </c>
      <c r="B46" s="34" t="s">
        <v>1935</v>
      </c>
      <c r="C46" s="33" t="s">
        <v>494</v>
      </c>
      <c r="D46" s="34" t="s">
        <v>1915</v>
      </c>
      <c r="E46" s="33">
        <v>1</v>
      </c>
      <c r="F46" s="33">
        <v>1</v>
      </c>
      <c r="G46" s="33">
        <v>0</v>
      </c>
      <c r="H46" s="33">
        <v>0</v>
      </c>
      <c r="I46" s="33">
        <v>0</v>
      </c>
      <c r="J46" s="33">
        <v>2</v>
      </c>
      <c r="K46" s="31">
        <v>4</v>
      </c>
      <c r="L46" s="35"/>
    </row>
    <row r="47" spans="1:12" ht="30" x14ac:dyDescent="0.3">
      <c r="A47" s="36" t="s">
        <v>1936</v>
      </c>
      <c r="B47" s="37"/>
      <c r="C47" s="37"/>
      <c r="D47" s="37"/>
      <c r="E47" s="36">
        <v>7</v>
      </c>
      <c r="F47" s="36">
        <v>10</v>
      </c>
      <c r="G47" s="36">
        <f>SUM(G37:G44)</f>
        <v>0</v>
      </c>
      <c r="H47" s="36">
        <f>SUM(H37:H44)</f>
        <v>1</v>
      </c>
      <c r="I47" s="36">
        <f>SUM(I37:I44)</f>
        <v>5</v>
      </c>
      <c r="J47" s="36">
        <v>2</v>
      </c>
      <c r="K47" s="36">
        <v>25</v>
      </c>
      <c r="L47" s="37"/>
    </row>
    <row r="48" spans="1:12" ht="26.45" customHeight="1" x14ac:dyDescent="0.25">
      <c r="E48" s="49">
        <v>0.28000000000000003</v>
      </c>
      <c r="F48" s="49">
        <v>0.4</v>
      </c>
      <c r="G48" s="49">
        <v>0</v>
      </c>
      <c r="H48" s="49">
        <v>0.04</v>
      </c>
      <c r="I48" s="49">
        <v>0.2</v>
      </c>
      <c r="J48" s="49">
        <v>0.08</v>
      </c>
      <c r="K48" s="43">
        <v>1</v>
      </c>
    </row>
    <row r="49" spans="1:12" ht="26.45" customHeight="1" x14ac:dyDescent="0.3">
      <c r="A49" s="33" t="s">
        <v>1937</v>
      </c>
      <c r="B49" s="34" t="s">
        <v>1938</v>
      </c>
      <c r="C49" s="33" t="s">
        <v>420</v>
      </c>
      <c r="D49" s="34"/>
      <c r="E49" s="33">
        <v>2</v>
      </c>
      <c r="F49" s="33">
        <v>3</v>
      </c>
      <c r="G49" s="33">
        <v>1</v>
      </c>
      <c r="H49" s="33">
        <v>0</v>
      </c>
      <c r="I49" s="33">
        <v>1</v>
      </c>
      <c r="J49" s="33">
        <v>0</v>
      </c>
      <c r="K49" s="31">
        <v>7</v>
      </c>
      <c r="L49" s="35"/>
    </row>
    <row r="50" spans="1:12" ht="26.45" customHeight="1" x14ac:dyDescent="0.3">
      <c r="A50" s="33" t="s">
        <v>1937</v>
      </c>
      <c r="B50" s="34" t="s">
        <v>1939</v>
      </c>
      <c r="C50" s="33" t="s">
        <v>1940</v>
      </c>
      <c r="D50" s="42" t="s">
        <v>1941</v>
      </c>
      <c r="E50" s="33">
        <v>3</v>
      </c>
      <c r="F50" s="33">
        <v>4</v>
      </c>
      <c r="G50" s="33">
        <v>0</v>
      </c>
      <c r="H50" s="33">
        <v>0</v>
      </c>
      <c r="I50" s="33">
        <v>1</v>
      </c>
      <c r="J50" s="33">
        <v>0</v>
      </c>
      <c r="K50" s="31">
        <v>8</v>
      </c>
      <c r="L50" s="35"/>
    </row>
    <row r="51" spans="1:12" ht="26.45" customHeight="1" x14ac:dyDescent="0.3">
      <c r="A51" s="33" t="s">
        <v>1937</v>
      </c>
      <c r="B51" s="34" t="s">
        <v>1942</v>
      </c>
      <c r="C51" s="33" t="s">
        <v>307</v>
      </c>
      <c r="D51" s="42"/>
      <c r="E51" s="33">
        <v>1</v>
      </c>
      <c r="F51" s="33">
        <v>1</v>
      </c>
      <c r="G51" s="33">
        <v>0</v>
      </c>
      <c r="H51" s="33">
        <v>0</v>
      </c>
      <c r="I51" s="33">
        <v>0</v>
      </c>
      <c r="J51" s="33">
        <v>0</v>
      </c>
      <c r="K51" s="31">
        <v>2</v>
      </c>
      <c r="L51" s="35"/>
    </row>
    <row r="52" spans="1:12" ht="66" customHeight="1" x14ac:dyDescent="0.3">
      <c r="A52" s="33" t="s">
        <v>1937</v>
      </c>
      <c r="B52" s="34" t="s">
        <v>1943</v>
      </c>
      <c r="C52" s="33" t="s">
        <v>263</v>
      </c>
      <c r="D52" s="34"/>
      <c r="E52" s="33">
        <v>1</v>
      </c>
      <c r="F52" s="33">
        <v>2</v>
      </c>
      <c r="G52" s="33">
        <v>1</v>
      </c>
      <c r="H52" s="33">
        <v>1</v>
      </c>
      <c r="I52" s="33">
        <v>1</v>
      </c>
      <c r="J52" s="33">
        <v>0</v>
      </c>
      <c r="K52" s="31">
        <v>6</v>
      </c>
      <c r="L52" s="35"/>
    </row>
    <row r="53" spans="1:12" ht="26.45" customHeight="1" x14ac:dyDescent="0.3">
      <c r="A53" s="33" t="s">
        <v>1937</v>
      </c>
      <c r="B53" s="34" t="s">
        <v>1944</v>
      </c>
      <c r="C53" s="33" t="s">
        <v>75</v>
      </c>
      <c r="D53" s="34"/>
      <c r="E53" s="33">
        <v>1</v>
      </c>
      <c r="F53" s="33">
        <v>3</v>
      </c>
      <c r="G53" s="33">
        <v>0</v>
      </c>
      <c r="H53" s="33">
        <v>0</v>
      </c>
      <c r="I53" s="33">
        <v>1</v>
      </c>
      <c r="J53" s="33">
        <v>0</v>
      </c>
      <c r="K53" s="31">
        <v>5</v>
      </c>
      <c r="L53" s="35"/>
    </row>
    <row r="54" spans="1:12" ht="66" customHeight="1" x14ac:dyDescent="0.3">
      <c r="A54" s="33" t="s">
        <v>1937</v>
      </c>
      <c r="B54" s="34" t="s">
        <v>1945</v>
      </c>
      <c r="C54" s="33" t="s">
        <v>482</v>
      </c>
      <c r="D54" s="34"/>
      <c r="E54" s="33">
        <v>1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1">
        <v>1</v>
      </c>
      <c r="L54" s="35"/>
    </row>
    <row r="55" spans="1:12" ht="66" customHeight="1" x14ac:dyDescent="0.3">
      <c r="A55" s="33" t="s">
        <v>1937</v>
      </c>
      <c r="B55" s="34" t="s">
        <v>1946</v>
      </c>
      <c r="C55" s="33" t="s">
        <v>263</v>
      </c>
      <c r="D55" s="34"/>
      <c r="E55" s="33">
        <v>1</v>
      </c>
      <c r="F55" s="33">
        <v>2</v>
      </c>
      <c r="G55" s="33">
        <v>0</v>
      </c>
      <c r="H55" s="33">
        <v>0</v>
      </c>
      <c r="I55" s="33">
        <v>1</v>
      </c>
      <c r="J55" s="33">
        <v>0</v>
      </c>
      <c r="K55" s="31">
        <v>4</v>
      </c>
      <c r="L55" s="35"/>
    </row>
    <row r="56" spans="1:12" ht="26.45" customHeight="1" x14ac:dyDescent="0.3">
      <c r="A56" s="33" t="s">
        <v>1937</v>
      </c>
      <c r="B56" s="34" t="s">
        <v>1947</v>
      </c>
      <c r="C56" s="33" t="s">
        <v>408</v>
      </c>
      <c r="D56" s="34"/>
      <c r="E56" s="33">
        <v>1</v>
      </c>
      <c r="F56" s="33">
        <v>2</v>
      </c>
      <c r="G56" s="33">
        <v>0</v>
      </c>
      <c r="H56" s="33">
        <v>0</v>
      </c>
      <c r="I56" s="33">
        <v>1</v>
      </c>
      <c r="J56" s="33">
        <v>0</v>
      </c>
      <c r="K56" s="31">
        <v>4</v>
      </c>
    </row>
    <row r="57" spans="1:12" ht="30" x14ac:dyDescent="0.3">
      <c r="A57" s="36" t="s">
        <v>1948</v>
      </c>
      <c r="B57" s="37"/>
      <c r="C57" s="37"/>
      <c r="D57" s="37"/>
      <c r="E57" s="36">
        <v>11</v>
      </c>
      <c r="F57" s="36">
        <v>17</v>
      </c>
      <c r="G57" s="36">
        <v>2</v>
      </c>
      <c r="H57" s="36">
        <v>1</v>
      </c>
      <c r="I57" s="36">
        <v>6</v>
      </c>
      <c r="J57" s="36">
        <v>0</v>
      </c>
      <c r="K57" s="36">
        <v>37</v>
      </c>
      <c r="L57" s="37"/>
    </row>
    <row r="58" spans="1:12" ht="39.6" customHeight="1" x14ac:dyDescent="0.25">
      <c r="E58" s="49">
        <v>0.29729729729729731</v>
      </c>
      <c r="F58" s="49">
        <v>0.45945945945945948</v>
      </c>
      <c r="G58" s="49">
        <v>5.4054054054054057E-2</v>
      </c>
      <c r="H58" s="49">
        <v>2.7027027027027029E-2</v>
      </c>
      <c r="I58" s="49">
        <v>0.1621621621621622</v>
      </c>
      <c r="J58" s="49">
        <v>0</v>
      </c>
      <c r="K58" s="43">
        <v>1</v>
      </c>
    </row>
    <row r="59" spans="1:12" ht="39.6" customHeight="1" x14ac:dyDescent="0.3">
      <c r="A59" s="33" t="s">
        <v>1949</v>
      </c>
      <c r="B59" s="34" t="s">
        <v>1950</v>
      </c>
      <c r="C59" s="33" t="s">
        <v>494</v>
      </c>
      <c r="D59" s="34"/>
      <c r="E59" s="33">
        <v>1</v>
      </c>
      <c r="F59" s="33">
        <v>2</v>
      </c>
      <c r="G59" s="33">
        <v>0</v>
      </c>
      <c r="H59" s="33">
        <v>0</v>
      </c>
      <c r="I59" s="33">
        <v>1</v>
      </c>
      <c r="J59" s="33">
        <v>0</v>
      </c>
      <c r="K59" s="31">
        <v>4</v>
      </c>
      <c r="L59" s="35"/>
    </row>
    <row r="60" spans="1:12" ht="52.9" customHeight="1" x14ac:dyDescent="0.3">
      <c r="A60" s="33" t="s">
        <v>1949</v>
      </c>
      <c r="B60" s="34" t="s">
        <v>1951</v>
      </c>
      <c r="C60" s="33" t="s">
        <v>263</v>
      </c>
      <c r="D60" s="34"/>
      <c r="E60" s="33">
        <v>2</v>
      </c>
      <c r="F60" s="33">
        <v>1</v>
      </c>
      <c r="G60" s="33">
        <v>0</v>
      </c>
      <c r="H60" s="33">
        <v>1</v>
      </c>
      <c r="I60" s="33">
        <v>0</v>
      </c>
      <c r="J60" s="33">
        <v>0</v>
      </c>
      <c r="K60" s="31">
        <v>4</v>
      </c>
      <c r="L60" s="35"/>
    </row>
    <row r="61" spans="1:12" ht="26.45" customHeight="1" x14ac:dyDescent="0.3">
      <c r="A61" s="33" t="s">
        <v>1949</v>
      </c>
      <c r="B61" s="34" t="s">
        <v>1952</v>
      </c>
      <c r="C61" s="33" t="s">
        <v>40</v>
      </c>
      <c r="D61" s="34"/>
      <c r="E61" s="33">
        <v>1</v>
      </c>
      <c r="F61" s="33">
        <v>2</v>
      </c>
      <c r="G61" s="33">
        <v>0</v>
      </c>
      <c r="H61" s="33">
        <v>0</v>
      </c>
      <c r="I61" s="33">
        <v>1</v>
      </c>
      <c r="J61" s="33">
        <v>0</v>
      </c>
      <c r="K61" s="31">
        <v>4</v>
      </c>
      <c r="L61" s="35"/>
    </row>
    <row r="62" spans="1:12" ht="39.6" customHeight="1" x14ac:dyDescent="0.3">
      <c r="A62" s="40" t="s">
        <v>1949</v>
      </c>
      <c r="B62" s="41" t="s">
        <v>1953</v>
      </c>
      <c r="C62" s="40" t="s">
        <v>1786</v>
      </c>
      <c r="D62" s="42" t="s">
        <v>1922</v>
      </c>
      <c r="E62" s="35">
        <v>0</v>
      </c>
      <c r="F62" s="35">
        <v>3</v>
      </c>
      <c r="G62" s="35">
        <v>0</v>
      </c>
      <c r="H62" s="35">
        <v>1</v>
      </c>
      <c r="I62" s="35">
        <v>1</v>
      </c>
      <c r="J62" s="35">
        <v>0</v>
      </c>
      <c r="K62" s="31">
        <v>0</v>
      </c>
      <c r="L62" s="40" t="s">
        <v>1923</v>
      </c>
    </row>
    <row r="63" spans="1:12" ht="39.6" customHeight="1" x14ac:dyDescent="0.3">
      <c r="A63" s="33" t="s">
        <v>1949</v>
      </c>
      <c r="B63" s="34" t="s">
        <v>1954</v>
      </c>
      <c r="C63" s="33" t="s">
        <v>482</v>
      </c>
      <c r="D63" s="42" t="s">
        <v>1955</v>
      </c>
      <c r="E63" s="33">
        <v>0</v>
      </c>
      <c r="F63" s="33">
        <v>1</v>
      </c>
      <c r="G63" s="33">
        <v>0</v>
      </c>
      <c r="H63" s="33">
        <v>1</v>
      </c>
      <c r="I63" s="33">
        <v>0</v>
      </c>
      <c r="J63" s="33">
        <v>0</v>
      </c>
      <c r="K63" s="31">
        <v>2</v>
      </c>
      <c r="L63" s="35"/>
    </row>
    <row r="64" spans="1:12" ht="39.6" customHeight="1" x14ac:dyDescent="0.3">
      <c r="A64" s="33" t="s">
        <v>1949</v>
      </c>
      <c r="B64" s="34" t="s">
        <v>1956</v>
      </c>
      <c r="C64" s="33" t="s">
        <v>1957</v>
      </c>
      <c r="D64" s="34"/>
      <c r="E64" s="33">
        <v>0</v>
      </c>
      <c r="F64" s="33">
        <v>1</v>
      </c>
      <c r="G64" s="33">
        <v>0</v>
      </c>
      <c r="H64" s="33">
        <v>0</v>
      </c>
      <c r="I64" s="33">
        <v>0</v>
      </c>
      <c r="J64" s="33">
        <v>0</v>
      </c>
      <c r="K64" s="31">
        <v>1</v>
      </c>
      <c r="L64" s="35"/>
    </row>
    <row r="65" spans="1:12" ht="26.45" customHeight="1" x14ac:dyDescent="0.3">
      <c r="A65" s="33" t="s">
        <v>1949</v>
      </c>
      <c r="B65" s="34" t="s">
        <v>1958</v>
      </c>
      <c r="C65" s="33" t="s">
        <v>40</v>
      </c>
      <c r="D65" s="34"/>
      <c r="E65" s="33">
        <v>1</v>
      </c>
      <c r="F65" s="33">
        <v>2</v>
      </c>
      <c r="G65" s="33">
        <v>0</v>
      </c>
      <c r="H65" s="33">
        <v>1</v>
      </c>
      <c r="I65" s="33">
        <v>0</v>
      </c>
      <c r="J65" s="33">
        <v>0</v>
      </c>
      <c r="K65" s="31">
        <v>4</v>
      </c>
      <c r="L65" s="35"/>
    </row>
    <row r="66" spans="1:12" ht="52.9" customHeight="1" x14ac:dyDescent="0.3">
      <c r="A66" s="33" t="s">
        <v>1949</v>
      </c>
      <c r="B66" s="34" t="s">
        <v>1959</v>
      </c>
      <c r="C66" s="33" t="s">
        <v>159</v>
      </c>
      <c r="D66" s="34"/>
      <c r="E66" s="33">
        <v>2</v>
      </c>
      <c r="F66" s="33">
        <v>1</v>
      </c>
      <c r="G66" s="33">
        <v>0</v>
      </c>
      <c r="H66" s="33">
        <v>0</v>
      </c>
      <c r="I66" s="33">
        <v>0</v>
      </c>
      <c r="J66" s="33">
        <v>0</v>
      </c>
      <c r="K66" s="31">
        <v>3</v>
      </c>
    </row>
    <row r="67" spans="1:12" ht="66" customHeight="1" x14ac:dyDescent="0.3">
      <c r="A67" s="33" t="s">
        <v>1949</v>
      </c>
      <c r="B67" s="34" t="s">
        <v>1960</v>
      </c>
      <c r="C67" s="33" t="s">
        <v>147</v>
      </c>
      <c r="D67" s="34"/>
      <c r="E67" s="33">
        <v>1</v>
      </c>
      <c r="F67" s="33">
        <v>2</v>
      </c>
      <c r="G67" s="33">
        <v>1</v>
      </c>
      <c r="H67" s="33">
        <v>0</v>
      </c>
      <c r="I67" s="33">
        <v>0</v>
      </c>
      <c r="J67" s="33">
        <v>0</v>
      </c>
      <c r="K67" s="31">
        <v>4</v>
      </c>
    </row>
    <row r="68" spans="1:12" ht="26.45" customHeight="1" x14ac:dyDescent="0.3">
      <c r="A68" s="33" t="s">
        <v>1949</v>
      </c>
      <c r="B68" s="34" t="s">
        <v>1025</v>
      </c>
      <c r="C68" s="33" t="s">
        <v>494</v>
      </c>
      <c r="D68" s="34" t="s">
        <v>1961</v>
      </c>
      <c r="E68" s="33">
        <v>1</v>
      </c>
      <c r="F68" s="33">
        <v>0</v>
      </c>
      <c r="G68" s="33">
        <v>0</v>
      </c>
      <c r="H68" s="33">
        <v>0</v>
      </c>
      <c r="I68" s="33">
        <v>1</v>
      </c>
      <c r="J68" s="33">
        <v>3</v>
      </c>
      <c r="K68" s="31">
        <v>5</v>
      </c>
    </row>
    <row r="69" spans="1:12" ht="30" x14ac:dyDescent="0.3">
      <c r="A69" s="36" t="s">
        <v>1962</v>
      </c>
      <c r="B69" s="37"/>
      <c r="C69" s="37"/>
      <c r="D69" s="37"/>
      <c r="E69" s="36">
        <v>9</v>
      </c>
      <c r="F69" s="36">
        <v>12</v>
      </c>
      <c r="G69" s="36">
        <v>1</v>
      </c>
      <c r="H69" s="36">
        <v>3</v>
      </c>
      <c r="I69" s="36">
        <v>3</v>
      </c>
      <c r="J69" s="36">
        <v>3</v>
      </c>
      <c r="K69" s="36">
        <v>31</v>
      </c>
      <c r="L69" s="37"/>
    </row>
    <row r="70" spans="1:12" ht="26.45" customHeight="1" x14ac:dyDescent="0.25">
      <c r="E70" s="49">
        <v>0.29032258064516131</v>
      </c>
      <c r="F70" s="49">
        <v>0.38709677419354838</v>
      </c>
      <c r="G70" s="49">
        <v>3.2258064516129031E-2</v>
      </c>
      <c r="H70" s="49">
        <v>9.6774193548387094E-2</v>
      </c>
      <c r="I70" s="49">
        <v>9.6774193548387094E-2</v>
      </c>
      <c r="J70" s="49">
        <v>9.6774193548387094E-2</v>
      </c>
      <c r="K70" s="43">
        <v>1</v>
      </c>
    </row>
    <row r="71" spans="1:12" ht="39.6" customHeight="1" x14ac:dyDescent="0.3">
      <c r="A71" s="33" t="s">
        <v>1963</v>
      </c>
      <c r="B71" s="34" t="s">
        <v>1964</v>
      </c>
      <c r="C71" s="33" t="s">
        <v>1112</v>
      </c>
      <c r="D71" s="34"/>
      <c r="E71" s="33">
        <v>1</v>
      </c>
      <c r="F71" s="33">
        <v>2</v>
      </c>
      <c r="G71" s="33">
        <v>0</v>
      </c>
      <c r="H71" s="33">
        <v>0</v>
      </c>
      <c r="I71" s="33">
        <v>2</v>
      </c>
      <c r="J71" s="33">
        <v>0</v>
      </c>
      <c r="K71" s="31">
        <v>5</v>
      </c>
      <c r="L71" s="35"/>
    </row>
    <row r="72" spans="1:12" ht="26.45" customHeight="1" x14ac:dyDescent="0.3">
      <c r="A72" s="33" t="s">
        <v>1963</v>
      </c>
      <c r="B72" s="34" t="s">
        <v>1965</v>
      </c>
      <c r="C72" s="33" t="s">
        <v>40</v>
      </c>
      <c r="D72" s="34"/>
      <c r="E72" s="33">
        <v>1</v>
      </c>
      <c r="F72" s="33">
        <v>2</v>
      </c>
      <c r="G72" s="33">
        <v>1</v>
      </c>
      <c r="H72" s="33">
        <v>0</v>
      </c>
      <c r="I72" s="33">
        <v>0</v>
      </c>
      <c r="J72" s="33">
        <v>0</v>
      </c>
      <c r="K72" s="31">
        <v>4</v>
      </c>
      <c r="L72" s="35"/>
    </row>
    <row r="73" spans="1:12" ht="26.45" customHeight="1" x14ac:dyDescent="0.3">
      <c r="A73" s="33" t="s">
        <v>1963</v>
      </c>
      <c r="B73" s="34" t="s">
        <v>1966</v>
      </c>
      <c r="C73" s="33" t="s">
        <v>235</v>
      </c>
      <c r="D73" s="34"/>
      <c r="E73" s="33">
        <v>1</v>
      </c>
      <c r="F73" s="33">
        <v>1</v>
      </c>
      <c r="G73" s="33">
        <v>0</v>
      </c>
      <c r="H73" s="33">
        <v>0</v>
      </c>
      <c r="I73" s="33">
        <v>2</v>
      </c>
      <c r="J73" s="33">
        <v>0</v>
      </c>
      <c r="K73" s="31">
        <v>4</v>
      </c>
      <c r="L73" s="35"/>
    </row>
    <row r="74" spans="1:12" ht="66" customHeight="1" x14ac:dyDescent="0.3">
      <c r="A74" s="33" t="s">
        <v>1963</v>
      </c>
      <c r="B74" s="34" t="s">
        <v>1967</v>
      </c>
      <c r="C74" s="33" t="s">
        <v>538</v>
      </c>
      <c r="D74" s="34"/>
      <c r="E74" s="33">
        <v>1</v>
      </c>
      <c r="F74" s="33">
        <v>1</v>
      </c>
      <c r="G74" s="33">
        <v>0</v>
      </c>
      <c r="H74" s="33">
        <v>0</v>
      </c>
      <c r="I74" s="33">
        <v>1</v>
      </c>
      <c r="J74" s="33">
        <v>0</v>
      </c>
      <c r="K74" s="31">
        <v>3</v>
      </c>
      <c r="L74" s="35"/>
    </row>
    <row r="75" spans="1:12" ht="26.45" customHeight="1" x14ac:dyDescent="0.3">
      <c r="A75" s="33" t="s">
        <v>1963</v>
      </c>
      <c r="B75" s="34" t="s">
        <v>1968</v>
      </c>
      <c r="C75" s="33" t="s">
        <v>59</v>
      </c>
      <c r="D75" s="34" t="s">
        <v>1250</v>
      </c>
      <c r="E75" s="33">
        <v>1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1">
        <v>1</v>
      </c>
      <c r="L75" s="35"/>
    </row>
    <row r="76" spans="1:12" ht="30" x14ac:dyDescent="0.3">
      <c r="A76" s="36" t="s">
        <v>1969</v>
      </c>
      <c r="B76" s="37"/>
      <c r="C76" s="37"/>
      <c r="D76" s="37"/>
      <c r="E76" s="36">
        <v>5</v>
      </c>
      <c r="F76" s="36">
        <v>6</v>
      </c>
      <c r="G76" s="36">
        <v>1</v>
      </c>
      <c r="H76" s="36">
        <v>0</v>
      </c>
      <c r="I76" s="36">
        <v>5</v>
      </c>
      <c r="J76" s="36">
        <v>0</v>
      </c>
      <c r="K76" s="36">
        <f>SUM(K69:K73)</f>
        <v>45</v>
      </c>
      <c r="L76" s="37"/>
    </row>
    <row r="77" spans="1:12" x14ac:dyDescent="0.25">
      <c r="E77" s="49">
        <v>0.29411764705882348</v>
      </c>
      <c r="F77" s="49">
        <v>0.35294117647058831</v>
      </c>
      <c r="G77" s="49">
        <v>5.8823529411764712E-2</v>
      </c>
      <c r="H77" s="49">
        <v>0</v>
      </c>
      <c r="I77" s="49">
        <v>0.29411764705882348</v>
      </c>
      <c r="J77" s="49">
        <v>0</v>
      </c>
      <c r="K77" s="45">
        <v>1</v>
      </c>
    </row>
    <row r="81" spans="1:10" x14ac:dyDescent="0.25">
      <c r="A81" s="58"/>
      <c r="B81" s="58"/>
      <c r="C81" s="58"/>
      <c r="D81" s="58"/>
      <c r="E81" s="58"/>
      <c r="F81" s="58"/>
      <c r="G81" s="58"/>
      <c r="H81" s="58"/>
      <c r="I81" s="58"/>
      <c r="J81" s="58"/>
    </row>
    <row r="82" spans="1:10" ht="26.45" customHeight="1" x14ac:dyDescent="0.4">
      <c r="A82" s="46" t="s">
        <v>1970</v>
      </c>
    </row>
    <row r="83" spans="1:10" ht="26.45" customHeight="1" x14ac:dyDescent="0.3">
      <c r="A83" s="23" t="s">
        <v>1971</v>
      </c>
      <c r="B83" s="23" t="s">
        <v>1972</v>
      </c>
      <c r="C83" s="24" t="s">
        <v>1078</v>
      </c>
      <c r="D83" s="25" t="s">
        <v>258</v>
      </c>
      <c r="E83" s="26" t="s">
        <v>1882</v>
      </c>
      <c r="F83" s="27" t="s">
        <v>1883</v>
      </c>
      <c r="G83" s="28" t="s">
        <v>1884</v>
      </c>
      <c r="H83" s="29" t="s">
        <v>1973</v>
      </c>
      <c r="I83" s="23" t="s">
        <v>1885</v>
      </c>
      <c r="J83" s="23" t="s">
        <v>1974</v>
      </c>
    </row>
    <row r="84" spans="1:10" ht="39.6" customHeight="1" x14ac:dyDescent="0.3">
      <c r="A84" s="34" t="s">
        <v>263</v>
      </c>
      <c r="B84" s="33">
        <v>3</v>
      </c>
      <c r="C84" s="33">
        <v>4</v>
      </c>
      <c r="D84" s="33">
        <v>5</v>
      </c>
      <c r="E84" s="33">
        <v>1</v>
      </c>
      <c r="F84" s="33">
        <v>2</v>
      </c>
      <c r="G84" s="33">
        <v>2</v>
      </c>
      <c r="H84" s="33">
        <v>0</v>
      </c>
      <c r="I84" s="31">
        <v>14</v>
      </c>
      <c r="J84" s="51">
        <v>0.28571428571428598</v>
      </c>
    </row>
    <row r="85" spans="1:10" ht="26.45" customHeight="1" x14ac:dyDescent="0.3">
      <c r="A85" s="34" t="s">
        <v>40</v>
      </c>
      <c r="B85" s="33">
        <v>3</v>
      </c>
      <c r="C85" s="33">
        <v>3</v>
      </c>
      <c r="D85" s="33">
        <v>6</v>
      </c>
      <c r="E85" s="33">
        <v>1</v>
      </c>
      <c r="F85" s="33">
        <v>1</v>
      </c>
      <c r="G85" s="33">
        <v>1</v>
      </c>
      <c r="H85" s="33">
        <v>0</v>
      </c>
      <c r="I85" s="31">
        <v>12</v>
      </c>
      <c r="J85" s="51">
        <v>0.25</v>
      </c>
    </row>
    <row r="86" spans="1:10" ht="26.45" customHeight="1" x14ac:dyDescent="0.3">
      <c r="A86" s="34" t="s">
        <v>307</v>
      </c>
      <c r="B86" s="33">
        <v>3</v>
      </c>
      <c r="C86" s="33">
        <v>2</v>
      </c>
      <c r="D86" s="33">
        <v>5</v>
      </c>
      <c r="E86" s="33">
        <v>0</v>
      </c>
      <c r="F86" s="33">
        <v>1</v>
      </c>
      <c r="G86" s="33">
        <v>3</v>
      </c>
      <c r="H86" s="33">
        <v>0</v>
      </c>
      <c r="I86" s="31">
        <v>11</v>
      </c>
      <c r="J86" s="51">
        <v>0.1818181818181818</v>
      </c>
    </row>
    <row r="87" spans="1:10" ht="30" x14ac:dyDescent="0.3">
      <c r="A87" s="34" t="s">
        <v>75</v>
      </c>
      <c r="B87" s="33">
        <v>2</v>
      </c>
      <c r="C87" s="33">
        <v>3</v>
      </c>
      <c r="D87" s="33">
        <v>5</v>
      </c>
      <c r="E87" s="33">
        <v>1</v>
      </c>
      <c r="F87" s="33">
        <v>1</v>
      </c>
      <c r="G87" s="33">
        <v>1</v>
      </c>
      <c r="H87" s="33">
        <v>0</v>
      </c>
      <c r="I87" s="31">
        <v>11</v>
      </c>
      <c r="J87" s="51">
        <v>0.27272727272727298</v>
      </c>
    </row>
    <row r="88" spans="1:10" ht="26.45" customHeight="1" x14ac:dyDescent="0.3">
      <c r="A88" s="34" t="s">
        <v>1940</v>
      </c>
      <c r="B88" s="33">
        <v>1</v>
      </c>
      <c r="C88" s="33">
        <v>3</v>
      </c>
      <c r="D88" s="33">
        <v>4</v>
      </c>
      <c r="E88" s="33">
        <v>0</v>
      </c>
      <c r="F88" s="33">
        <v>0</v>
      </c>
      <c r="G88" s="33">
        <v>1</v>
      </c>
      <c r="H88" s="33">
        <v>0</v>
      </c>
      <c r="I88" s="31">
        <v>8</v>
      </c>
      <c r="J88" s="51">
        <v>0.375</v>
      </c>
    </row>
    <row r="89" spans="1:10" ht="26.45" customHeight="1" x14ac:dyDescent="0.3">
      <c r="A89" s="34" t="s">
        <v>408</v>
      </c>
      <c r="B89" s="33">
        <v>2</v>
      </c>
      <c r="C89" s="33">
        <v>3</v>
      </c>
      <c r="D89" s="33">
        <v>6</v>
      </c>
      <c r="E89" s="33">
        <v>0</v>
      </c>
      <c r="F89" s="33">
        <v>0</v>
      </c>
      <c r="G89" s="33">
        <v>3</v>
      </c>
      <c r="H89" s="33">
        <v>0</v>
      </c>
      <c r="I89" s="31">
        <v>12</v>
      </c>
      <c r="J89" s="51">
        <v>0.25</v>
      </c>
    </row>
    <row r="90" spans="1:10" ht="26.45" customHeight="1" x14ac:dyDescent="0.3">
      <c r="A90" s="34" t="s">
        <v>420</v>
      </c>
      <c r="B90" s="33">
        <v>1</v>
      </c>
      <c r="C90" s="33">
        <v>2</v>
      </c>
      <c r="D90" s="33">
        <v>3</v>
      </c>
      <c r="E90" s="33">
        <v>1</v>
      </c>
      <c r="F90" s="33">
        <v>0</v>
      </c>
      <c r="G90" s="33">
        <v>1</v>
      </c>
      <c r="H90" s="33">
        <v>0</v>
      </c>
      <c r="I90" s="31">
        <v>7</v>
      </c>
      <c r="J90" s="51">
        <v>0.28571428571428598</v>
      </c>
    </row>
    <row r="91" spans="1:10" ht="26.45" customHeight="1" x14ac:dyDescent="0.3">
      <c r="A91" s="34" t="s">
        <v>598</v>
      </c>
      <c r="B91" s="33">
        <v>1</v>
      </c>
      <c r="C91" s="33">
        <v>2</v>
      </c>
      <c r="D91" s="33">
        <v>3</v>
      </c>
      <c r="E91" s="33">
        <v>1</v>
      </c>
      <c r="F91" s="33">
        <v>0</v>
      </c>
      <c r="G91" s="33">
        <v>1</v>
      </c>
      <c r="H91" s="33">
        <v>0</v>
      </c>
      <c r="I91" s="31">
        <v>7</v>
      </c>
      <c r="J91" s="51">
        <v>0.28571428571428598</v>
      </c>
    </row>
    <row r="92" spans="1:10" ht="26.45" customHeight="1" x14ac:dyDescent="0.3">
      <c r="A92" s="34" t="s">
        <v>1567</v>
      </c>
      <c r="B92" s="33">
        <v>2</v>
      </c>
      <c r="C92" s="33">
        <v>2</v>
      </c>
      <c r="D92" s="33">
        <v>3</v>
      </c>
      <c r="E92" s="33">
        <v>0</v>
      </c>
      <c r="F92" s="33">
        <v>0</v>
      </c>
      <c r="G92" s="33">
        <v>1</v>
      </c>
      <c r="H92" s="33">
        <v>0</v>
      </c>
      <c r="I92" s="31">
        <v>6</v>
      </c>
      <c r="J92" s="51">
        <v>0.33333333333333298</v>
      </c>
    </row>
    <row r="93" spans="1:10" ht="26.45" customHeight="1" x14ac:dyDescent="0.3">
      <c r="A93" s="34" t="s">
        <v>159</v>
      </c>
      <c r="B93" s="33">
        <v>2</v>
      </c>
      <c r="C93" s="33">
        <v>4</v>
      </c>
      <c r="D93" s="33">
        <v>4</v>
      </c>
      <c r="E93" s="33">
        <v>0</v>
      </c>
      <c r="F93" s="33">
        <v>0</v>
      </c>
      <c r="G93" s="33">
        <v>1</v>
      </c>
      <c r="H93" s="33">
        <v>0</v>
      </c>
      <c r="I93" s="31">
        <v>9</v>
      </c>
      <c r="J93" s="51">
        <v>0.44444444444444442</v>
      </c>
    </row>
    <row r="94" spans="1:10" ht="39.6" customHeight="1" x14ac:dyDescent="0.3">
      <c r="A94" s="34" t="s">
        <v>1112</v>
      </c>
      <c r="B94" s="33">
        <v>1</v>
      </c>
      <c r="C94" s="33">
        <v>1</v>
      </c>
      <c r="D94" s="33">
        <v>2</v>
      </c>
      <c r="E94" s="33">
        <v>0</v>
      </c>
      <c r="F94" s="33">
        <v>0</v>
      </c>
      <c r="G94" s="33">
        <v>2</v>
      </c>
      <c r="H94" s="33">
        <v>0</v>
      </c>
      <c r="I94" s="31">
        <v>5</v>
      </c>
      <c r="J94" s="51">
        <v>0.2</v>
      </c>
    </row>
    <row r="95" spans="1:10" ht="26.45" customHeight="1" x14ac:dyDescent="0.3">
      <c r="A95" s="34" t="s">
        <v>87</v>
      </c>
      <c r="B95" s="33">
        <v>2</v>
      </c>
      <c r="C95" s="33">
        <v>2</v>
      </c>
      <c r="D95" s="33">
        <v>3</v>
      </c>
      <c r="E95" s="33">
        <v>0</v>
      </c>
      <c r="F95" s="33">
        <v>1</v>
      </c>
      <c r="G95" s="33">
        <v>1</v>
      </c>
      <c r="H95" s="33">
        <v>4</v>
      </c>
      <c r="I95" s="31">
        <v>11</v>
      </c>
      <c r="J95" s="51">
        <v>0.1818181818181818</v>
      </c>
    </row>
    <row r="96" spans="1:10" ht="26.45" customHeight="1" x14ac:dyDescent="0.3">
      <c r="A96" s="34" t="s">
        <v>494</v>
      </c>
      <c r="B96" s="33">
        <v>3</v>
      </c>
      <c r="C96" s="33">
        <v>3</v>
      </c>
      <c r="D96" s="33">
        <v>3</v>
      </c>
      <c r="E96" s="33">
        <v>0</v>
      </c>
      <c r="F96" s="33">
        <v>0</v>
      </c>
      <c r="G96" s="33">
        <v>2</v>
      </c>
      <c r="H96" s="33">
        <v>5</v>
      </c>
      <c r="I96" s="31">
        <v>13</v>
      </c>
      <c r="J96" s="51">
        <v>0.23076923076923081</v>
      </c>
    </row>
    <row r="97" spans="1:10" ht="30" x14ac:dyDescent="0.3">
      <c r="A97" s="34" t="s">
        <v>235</v>
      </c>
      <c r="B97" s="33">
        <v>1</v>
      </c>
      <c r="C97" s="33">
        <v>1</v>
      </c>
      <c r="D97" s="33">
        <v>1</v>
      </c>
      <c r="E97" s="33">
        <v>0</v>
      </c>
      <c r="F97" s="33">
        <v>0</v>
      </c>
      <c r="G97" s="33">
        <v>2</v>
      </c>
      <c r="H97" s="33">
        <v>0</v>
      </c>
      <c r="I97" s="31">
        <v>4</v>
      </c>
      <c r="J97" s="51">
        <v>0.25</v>
      </c>
    </row>
    <row r="98" spans="1:10" ht="26.45" customHeight="1" x14ac:dyDescent="0.3">
      <c r="A98" s="34" t="s">
        <v>198</v>
      </c>
      <c r="B98" s="33">
        <v>1</v>
      </c>
      <c r="C98" s="33">
        <v>1</v>
      </c>
      <c r="D98" s="33">
        <v>2</v>
      </c>
      <c r="E98" s="33">
        <v>0</v>
      </c>
      <c r="F98" s="33">
        <v>1</v>
      </c>
      <c r="G98" s="33">
        <v>0</v>
      </c>
      <c r="H98" s="33">
        <v>0</v>
      </c>
      <c r="I98" s="31">
        <v>4</v>
      </c>
      <c r="J98" s="51">
        <v>0.25</v>
      </c>
    </row>
    <row r="99" spans="1:10" ht="26.45" customHeight="1" x14ac:dyDescent="0.3">
      <c r="A99" s="34" t="s">
        <v>990</v>
      </c>
      <c r="B99" s="33">
        <v>1</v>
      </c>
      <c r="C99" s="33">
        <v>1</v>
      </c>
      <c r="D99" s="33">
        <v>2</v>
      </c>
      <c r="E99" s="33">
        <v>0</v>
      </c>
      <c r="F99" s="33">
        <v>0</v>
      </c>
      <c r="G99" s="33">
        <v>1</v>
      </c>
      <c r="H99" s="33">
        <v>0</v>
      </c>
      <c r="I99" s="31">
        <v>4</v>
      </c>
      <c r="J99" s="51">
        <v>0.25</v>
      </c>
    </row>
    <row r="100" spans="1:10" ht="30" x14ac:dyDescent="0.3">
      <c r="A100" s="34" t="s">
        <v>137</v>
      </c>
      <c r="B100" s="33">
        <v>1</v>
      </c>
      <c r="C100" s="33">
        <v>1</v>
      </c>
      <c r="D100" s="33">
        <v>1</v>
      </c>
      <c r="E100" s="33">
        <v>0</v>
      </c>
      <c r="F100" s="33">
        <v>0</v>
      </c>
      <c r="G100" s="33">
        <v>2</v>
      </c>
      <c r="H100" s="33">
        <v>0</v>
      </c>
      <c r="I100" s="31">
        <v>4</v>
      </c>
      <c r="J100" s="51">
        <v>0.25</v>
      </c>
    </row>
    <row r="101" spans="1:10" ht="26.45" customHeight="1" x14ac:dyDescent="0.3">
      <c r="A101" s="34" t="s">
        <v>1913</v>
      </c>
      <c r="B101" s="33">
        <v>1</v>
      </c>
      <c r="C101" s="33">
        <v>1</v>
      </c>
      <c r="D101" s="33">
        <v>2</v>
      </c>
      <c r="E101" s="33">
        <v>0</v>
      </c>
      <c r="F101" s="33">
        <v>0</v>
      </c>
      <c r="G101" s="33">
        <v>1</v>
      </c>
      <c r="H101" s="33">
        <v>0</v>
      </c>
      <c r="I101" s="31">
        <v>4</v>
      </c>
      <c r="J101" s="51">
        <v>0.25</v>
      </c>
    </row>
    <row r="102" spans="1:10" ht="26.45" customHeight="1" x14ac:dyDescent="0.3">
      <c r="A102" s="34" t="s">
        <v>649</v>
      </c>
      <c r="B102" s="33">
        <v>2</v>
      </c>
      <c r="C102" s="33">
        <v>2</v>
      </c>
      <c r="D102" s="33">
        <v>2</v>
      </c>
      <c r="E102" s="33">
        <v>0</v>
      </c>
      <c r="F102" s="33">
        <v>0</v>
      </c>
      <c r="G102" s="33">
        <v>2</v>
      </c>
      <c r="H102" s="33">
        <v>0</v>
      </c>
      <c r="I102" s="31">
        <v>6</v>
      </c>
      <c r="J102" s="51">
        <v>0.33333333333333331</v>
      </c>
    </row>
    <row r="103" spans="1:10" ht="26.45" customHeight="1" x14ac:dyDescent="0.3">
      <c r="A103" s="34" t="s">
        <v>482</v>
      </c>
      <c r="B103" s="33">
        <v>2</v>
      </c>
      <c r="C103" s="33">
        <v>1</v>
      </c>
      <c r="D103" s="33">
        <v>1</v>
      </c>
      <c r="E103" s="33">
        <v>0</v>
      </c>
      <c r="F103" s="33">
        <v>1</v>
      </c>
      <c r="G103" s="33">
        <v>0</v>
      </c>
      <c r="H103" s="33">
        <v>0</v>
      </c>
      <c r="I103" s="31">
        <v>3</v>
      </c>
      <c r="J103" s="51">
        <v>0.33333333333333298</v>
      </c>
    </row>
    <row r="104" spans="1:10" ht="39.6" customHeight="1" x14ac:dyDescent="0.3">
      <c r="A104" s="34" t="s">
        <v>538</v>
      </c>
      <c r="B104" s="33">
        <v>1</v>
      </c>
      <c r="C104" s="33">
        <v>1</v>
      </c>
      <c r="D104" s="33">
        <v>1</v>
      </c>
      <c r="E104" s="33">
        <v>0</v>
      </c>
      <c r="F104" s="33">
        <v>0</v>
      </c>
      <c r="G104" s="33">
        <v>1</v>
      </c>
      <c r="H104" s="33">
        <v>0</v>
      </c>
      <c r="I104" s="31">
        <v>3</v>
      </c>
      <c r="J104" s="51">
        <v>0.33333333333333298</v>
      </c>
    </row>
    <row r="105" spans="1:10" ht="26.45" customHeight="1" x14ac:dyDescent="0.3">
      <c r="A105" s="34" t="s">
        <v>127</v>
      </c>
      <c r="B105" s="33">
        <v>1</v>
      </c>
      <c r="C105" s="33">
        <v>1</v>
      </c>
      <c r="D105" s="33">
        <v>1</v>
      </c>
      <c r="E105" s="33">
        <v>0</v>
      </c>
      <c r="F105" s="33">
        <v>0</v>
      </c>
      <c r="G105" s="33">
        <v>1</v>
      </c>
      <c r="H105" s="33">
        <v>0</v>
      </c>
      <c r="I105" s="31">
        <v>3</v>
      </c>
      <c r="J105" s="51">
        <v>0.33333333333333298</v>
      </c>
    </row>
    <row r="106" spans="1:10" ht="30" x14ac:dyDescent="0.3">
      <c r="A106" s="34" t="s">
        <v>1455</v>
      </c>
      <c r="B106" s="33">
        <v>1</v>
      </c>
      <c r="C106" s="33">
        <v>1</v>
      </c>
      <c r="D106" s="33">
        <v>1</v>
      </c>
      <c r="E106" s="33">
        <v>0</v>
      </c>
      <c r="F106" s="33">
        <v>0</v>
      </c>
      <c r="G106" s="33">
        <v>1</v>
      </c>
      <c r="H106" s="33">
        <v>0</v>
      </c>
      <c r="I106" s="31">
        <v>3</v>
      </c>
      <c r="J106" s="51">
        <v>0.33333333333333298</v>
      </c>
    </row>
    <row r="107" spans="1:10" ht="26.45" customHeight="1" x14ac:dyDescent="0.3">
      <c r="A107" s="34" t="s">
        <v>1929</v>
      </c>
      <c r="B107" s="33">
        <v>1</v>
      </c>
      <c r="C107" s="33">
        <v>1</v>
      </c>
      <c r="D107" s="33">
        <v>1</v>
      </c>
      <c r="E107" s="33">
        <v>0</v>
      </c>
      <c r="F107" s="33">
        <v>1</v>
      </c>
      <c r="G107" s="33">
        <v>0</v>
      </c>
      <c r="H107" s="33">
        <v>0</v>
      </c>
      <c r="I107" s="31">
        <v>3</v>
      </c>
      <c r="J107" s="51">
        <v>0.33333333333333298</v>
      </c>
    </row>
    <row r="108" spans="1:10" ht="26.45" customHeight="1" x14ac:dyDescent="0.3">
      <c r="A108" s="34" t="s">
        <v>1145</v>
      </c>
      <c r="B108" s="33">
        <v>1</v>
      </c>
      <c r="C108" s="33">
        <v>0</v>
      </c>
      <c r="D108" s="33">
        <v>2</v>
      </c>
      <c r="E108" s="33">
        <v>0</v>
      </c>
      <c r="F108" s="33">
        <v>0</v>
      </c>
      <c r="G108" s="33">
        <v>1</v>
      </c>
      <c r="H108" s="33">
        <v>0</v>
      </c>
      <c r="I108" s="31">
        <v>3</v>
      </c>
      <c r="J108" s="51">
        <v>0</v>
      </c>
    </row>
    <row r="109" spans="1:10" ht="26.45" customHeight="1" x14ac:dyDescent="0.3">
      <c r="A109" s="34" t="s">
        <v>814</v>
      </c>
      <c r="B109" s="33">
        <v>1</v>
      </c>
      <c r="C109" s="33">
        <v>1</v>
      </c>
      <c r="D109" s="33">
        <v>1</v>
      </c>
      <c r="E109" s="33">
        <v>0</v>
      </c>
      <c r="F109" s="33">
        <v>0</v>
      </c>
      <c r="G109" s="33">
        <v>0</v>
      </c>
      <c r="H109" s="33">
        <v>0</v>
      </c>
      <c r="I109" s="31">
        <v>2</v>
      </c>
      <c r="J109" s="51">
        <v>0.5</v>
      </c>
    </row>
    <row r="110" spans="1:10" ht="26.45" customHeight="1" x14ac:dyDescent="0.3">
      <c r="A110" s="34" t="s">
        <v>1598</v>
      </c>
      <c r="B110" s="33">
        <v>1</v>
      </c>
      <c r="C110" s="33">
        <v>0</v>
      </c>
      <c r="D110" s="33">
        <v>1</v>
      </c>
      <c r="E110" s="33">
        <v>0</v>
      </c>
      <c r="F110" s="33">
        <v>0</v>
      </c>
      <c r="G110" s="33">
        <v>1</v>
      </c>
      <c r="H110" s="33">
        <v>0</v>
      </c>
      <c r="I110" s="31">
        <v>2</v>
      </c>
      <c r="J110" s="51">
        <v>0</v>
      </c>
    </row>
    <row r="111" spans="1:10" ht="26.45" customHeight="1" x14ac:dyDescent="0.3">
      <c r="A111" s="34" t="s">
        <v>880</v>
      </c>
      <c r="B111" s="33">
        <v>1</v>
      </c>
      <c r="C111" s="33">
        <v>1</v>
      </c>
      <c r="D111" s="33">
        <v>1</v>
      </c>
      <c r="E111" s="33">
        <v>0</v>
      </c>
      <c r="F111" s="33">
        <v>0</v>
      </c>
      <c r="G111" s="33">
        <v>0</v>
      </c>
      <c r="H111" s="33">
        <v>0</v>
      </c>
      <c r="I111" s="31">
        <v>2</v>
      </c>
      <c r="J111" s="51">
        <v>0.5</v>
      </c>
    </row>
    <row r="112" spans="1:10" ht="26.45" customHeight="1" x14ac:dyDescent="0.3">
      <c r="A112" s="34" t="s">
        <v>1000</v>
      </c>
      <c r="B112" s="33">
        <v>2</v>
      </c>
      <c r="C112" s="33">
        <v>2</v>
      </c>
      <c r="D112" s="33">
        <v>3</v>
      </c>
      <c r="E112" s="33">
        <v>0</v>
      </c>
      <c r="F112" s="33">
        <v>0</v>
      </c>
      <c r="G112" s="33">
        <v>0</v>
      </c>
      <c r="H112" s="33">
        <v>0</v>
      </c>
      <c r="I112" s="31">
        <v>5</v>
      </c>
      <c r="J112" s="51">
        <v>0.4</v>
      </c>
    </row>
    <row r="113" spans="1:10" ht="30" x14ac:dyDescent="0.3">
      <c r="A113" s="34" t="s">
        <v>1957</v>
      </c>
      <c r="B113" s="33">
        <v>1</v>
      </c>
      <c r="C113" s="33">
        <v>0</v>
      </c>
      <c r="D113" s="33">
        <v>1</v>
      </c>
      <c r="E113" s="33">
        <v>0</v>
      </c>
      <c r="F113" s="33">
        <v>0</v>
      </c>
      <c r="G113" s="33">
        <v>0</v>
      </c>
      <c r="H113" s="33">
        <v>0</v>
      </c>
      <c r="I113" s="31">
        <v>1</v>
      </c>
      <c r="J113" s="51">
        <v>0</v>
      </c>
    </row>
    <row r="114" spans="1:10" ht="26.45" customHeight="1" x14ac:dyDescent="0.3">
      <c r="A114" s="34" t="s">
        <v>584</v>
      </c>
      <c r="B114" s="33">
        <v>1</v>
      </c>
      <c r="C114" s="33">
        <v>1</v>
      </c>
      <c r="D114" s="33">
        <v>1</v>
      </c>
      <c r="E114" s="33">
        <v>0</v>
      </c>
      <c r="F114" s="33">
        <v>0</v>
      </c>
      <c r="G114" s="33">
        <v>0</v>
      </c>
      <c r="H114" s="33">
        <v>0</v>
      </c>
      <c r="I114" s="31">
        <v>2</v>
      </c>
      <c r="J114" s="51">
        <v>0.5</v>
      </c>
    </row>
    <row r="115" spans="1:10" ht="26.45" customHeight="1" x14ac:dyDescent="0.3">
      <c r="A115" s="34" t="s">
        <v>147</v>
      </c>
      <c r="B115" s="33">
        <v>1</v>
      </c>
      <c r="C115" s="33">
        <v>1</v>
      </c>
      <c r="D115" s="33">
        <v>2</v>
      </c>
      <c r="E115" s="33">
        <v>1</v>
      </c>
      <c r="F115" s="33">
        <v>0</v>
      </c>
      <c r="G115" s="33">
        <v>0</v>
      </c>
      <c r="H115" s="33">
        <v>0</v>
      </c>
      <c r="I115" s="31">
        <v>4</v>
      </c>
      <c r="J115" s="51">
        <v>0.25</v>
      </c>
    </row>
    <row r="116" spans="1:10" ht="26.45" customHeight="1" x14ac:dyDescent="0.3">
      <c r="A116" s="34" t="s">
        <v>59</v>
      </c>
      <c r="B116" s="33">
        <v>1</v>
      </c>
      <c r="C116" s="33">
        <v>1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1">
        <v>1</v>
      </c>
      <c r="J116" s="51">
        <v>1</v>
      </c>
    </row>
    <row r="117" spans="1:10" ht="30" x14ac:dyDescent="0.3">
      <c r="A117" s="34" t="s">
        <v>1218</v>
      </c>
      <c r="B117" s="33">
        <v>1</v>
      </c>
      <c r="C117" s="33">
        <v>1</v>
      </c>
      <c r="D117" s="33">
        <v>1</v>
      </c>
      <c r="E117" s="33">
        <v>0</v>
      </c>
      <c r="F117" s="33">
        <v>0</v>
      </c>
      <c r="G117" s="33">
        <v>1</v>
      </c>
      <c r="H117" s="33">
        <v>2</v>
      </c>
      <c r="I117" s="31">
        <v>5</v>
      </c>
      <c r="J117" s="51">
        <v>0.2</v>
      </c>
    </row>
  </sheetData>
  <mergeCells count="3">
    <mergeCell ref="A7:L7"/>
    <mergeCell ref="A81:J81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Z175"/>
  <sheetViews>
    <sheetView zoomScale="85" zoomScaleNormal="85" workbookViewId="0">
      <selection activeCell="B3" sqref="B3"/>
    </sheetView>
  </sheetViews>
  <sheetFormatPr defaultRowHeight="16.5" x14ac:dyDescent="0.25"/>
  <cols>
    <col min="1" max="1" width="8.7890625" style="6" customWidth="1"/>
    <col min="2" max="2" width="24.13671875" style="6" bestFit="1" customWidth="1"/>
    <col min="3" max="3" width="8.7890625" style="6" customWidth="1"/>
    <col min="4" max="4" width="25.87109375" style="6" bestFit="1" customWidth="1"/>
    <col min="5" max="5" width="25.25" style="6" bestFit="1" customWidth="1"/>
    <col min="6" max="7" width="8.7890625" style="6" customWidth="1"/>
    <col min="8" max="8" width="10.3984375" style="6" bestFit="1" customWidth="1"/>
    <col min="9" max="14" width="8.7890625" style="6" customWidth="1"/>
    <col min="15" max="17" width="10.3984375" style="6" bestFit="1" customWidth="1"/>
    <col min="18" max="18" width="8.7890625" style="6" customWidth="1"/>
    <col min="19" max="20" width="10.3984375" style="6" bestFit="1" customWidth="1"/>
    <col min="21" max="21" width="8.6640625" style="6" bestFit="1" customWidth="1"/>
    <col min="22" max="26" width="8.7890625" style="6" customWidth="1"/>
  </cols>
  <sheetData>
    <row r="1" spans="2:25" x14ac:dyDescent="0.25">
      <c r="D1" s="6">
        <v>140</v>
      </c>
      <c r="E1" s="6">
        <v>165</v>
      </c>
    </row>
    <row r="2" spans="2:25" x14ac:dyDescent="0.25">
      <c r="B2" s="6" t="s">
        <v>1975</v>
      </c>
      <c r="C2" s="6" t="s">
        <v>6</v>
      </c>
      <c r="D2" s="6" t="s">
        <v>1976</v>
      </c>
      <c r="E2" s="6" t="s">
        <v>11</v>
      </c>
      <c r="F2" s="6" t="s">
        <v>1977</v>
      </c>
      <c r="G2" s="6" t="s">
        <v>19</v>
      </c>
      <c r="H2" s="6" t="s">
        <v>8</v>
      </c>
      <c r="I2" s="6" t="s">
        <v>1589</v>
      </c>
      <c r="J2" s="6" t="s">
        <v>38</v>
      </c>
      <c r="K2" s="6" t="s">
        <v>1978</v>
      </c>
      <c r="L2" s="6" t="s">
        <v>1979</v>
      </c>
      <c r="M2" s="6" t="s">
        <v>1980</v>
      </c>
      <c r="N2" s="6" t="s">
        <v>347</v>
      </c>
      <c r="O2" s="6" t="s">
        <v>1828</v>
      </c>
      <c r="P2" s="6" t="s">
        <v>1981</v>
      </c>
      <c r="Q2" s="6" t="s">
        <v>298</v>
      </c>
      <c r="R2" s="6" t="s">
        <v>1982</v>
      </c>
      <c r="S2" s="6" t="s">
        <v>1849</v>
      </c>
      <c r="T2" s="6" t="s">
        <v>278</v>
      </c>
      <c r="U2" s="6" t="s">
        <v>1983</v>
      </c>
      <c r="V2" s="6" t="s">
        <v>1984</v>
      </c>
      <c r="W2" s="6" t="s">
        <v>1985</v>
      </c>
      <c r="X2" s="6" t="s">
        <v>684</v>
      </c>
      <c r="Y2" s="6" t="s">
        <v>740</v>
      </c>
    </row>
    <row r="4" spans="2:25" x14ac:dyDescent="0.25">
      <c r="B4" s="6" t="s">
        <v>33</v>
      </c>
      <c r="C4" s="6" t="s">
        <v>36</v>
      </c>
      <c r="D4" s="6" t="s">
        <v>1986</v>
      </c>
      <c r="E4" s="6" t="s">
        <v>1987</v>
      </c>
      <c r="F4" s="6" t="s">
        <v>1869</v>
      </c>
      <c r="G4" s="6" t="s">
        <v>1988</v>
      </c>
      <c r="H4" s="6" t="s">
        <v>1589</v>
      </c>
      <c r="I4" s="6" t="s">
        <v>1989</v>
      </c>
      <c r="J4" s="6" t="s">
        <v>1990</v>
      </c>
      <c r="K4" s="6" t="s">
        <v>1991</v>
      </c>
      <c r="L4" s="6" t="s">
        <v>1992</v>
      </c>
      <c r="M4" s="6" t="s">
        <v>1993</v>
      </c>
      <c r="N4" s="6" t="s">
        <v>1994</v>
      </c>
      <c r="O4" s="6" t="s">
        <v>1850</v>
      </c>
      <c r="P4" s="6" t="s">
        <v>1994</v>
      </c>
      <c r="Q4" s="6" t="s">
        <v>1995</v>
      </c>
      <c r="R4" s="6" t="s">
        <v>1996</v>
      </c>
      <c r="S4" s="6" t="s">
        <v>1994</v>
      </c>
      <c r="T4" s="6" t="s">
        <v>1994</v>
      </c>
      <c r="U4" s="6" t="s">
        <v>1997</v>
      </c>
      <c r="V4" s="6" t="s">
        <v>1998</v>
      </c>
      <c r="W4" s="6" t="s">
        <v>1999</v>
      </c>
      <c r="X4" s="6" t="s">
        <v>2000</v>
      </c>
      <c r="Y4" s="6" t="s">
        <v>1807</v>
      </c>
    </row>
    <row r="5" spans="2:25" x14ac:dyDescent="0.25">
      <c r="B5" s="6" t="s">
        <v>2001</v>
      </c>
      <c r="C5" s="6" t="s">
        <v>52</v>
      </c>
      <c r="D5" s="6" t="s">
        <v>2002</v>
      </c>
      <c r="E5" s="6" t="s">
        <v>631</v>
      </c>
      <c r="F5" s="6" t="s">
        <v>1821</v>
      </c>
      <c r="G5" s="6" t="s">
        <v>2003</v>
      </c>
      <c r="H5" s="6" t="s">
        <v>38</v>
      </c>
      <c r="I5" s="6" t="s">
        <v>2004</v>
      </c>
      <c r="J5" s="6" t="s">
        <v>2005</v>
      </c>
      <c r="K5" s="6" t="s">
        <v>2006</v>
      </c>
      <c r="L5" s="6" t="s">
        <v>2007</v>
      </c>
      <c r="M5" s="6" t="s">
        <v>2008</v>
      </c>
      <c r="N5" s="6" t="s">
        <v>1850</v>
      </c>
      <c r="O5" s="6" t="s">
        <v>1994</v>
      </c>
      <c r="P5" s="6" t="s">
        <v>365</v>
      </c>
      <c r="Q5" s="6" t="s">
        <v>1994</v>
      </c>
      <c r="R5" s="6" t="s">
        <v>2009</v>
      </c>
      <c r="S5" s="6" t="s">
        <v>2008</v>
      </c>
      <c r="T5" s="6" t="s">
        <v>1850</v>
      </c>
      <c r="U5" s="6" t="s">
        <v>2010</v>
      </c>
      <c r="V5" s="6" t="s">
        <v>2011</v>
      </c>
      <c r="W5" s="6" t="s">
        <v>2012</v>
      </c>
      <c r="X5" s="6" t="s">
        <v>2013</v>
      </c>
      <c r="Y5" s="6" t="s">
        <v>2014</v>
      </c>
    </row>
    <row r="6" spans="2:25" x14ac:dyDescent="0.25">
      <c r="B6" s="6" t="s">
        <v>2015</v>
      </c>
      <c r="D6" s="6" t="s">
        <v>2016</v>
      </c>
      <c r="E6" s="6" t="s">
        <v>2017</v>
      </c>
      <c r="H6" s="6" t="s">
        <v>1978</v>
      </c>
      <c r="I6" s="6" t="s">
        <v>2018</v>
      </c>
      <c r="J6" s="6" t="s">
        <v>402</v>
      </c>
      <c r="K6" s="6" t="s">
        <v>2019</v>
      </c>
      <c r="L6" s="6" t="s">
        <v>2020</v>
      </c>
      <c r="M6" s="6" t="s">
        <v>1850</v>
      </c>
      <c r="N6" s="6" t="s">
        <v>365</v>
      </c>
      <c r="O6" s="6" t="s">
        <v>365</v>
      </c>
      <c r="P6" s="6" t="s">
        <v>1850</v>
      </c>
      <c r="Q6" s="6" t="s">
        <v>2021</v>
      </c>
      <c r="R6" s="6" t="s">
        <v>2022</v>
      </c>
      <c r="S6" s="6" t="s">
        <v>1850</v>
      </c>
      <c r="T6" s="6" t="s">
        <v>2023</v>
      </c>
      <c r="U6" s="6" t="s">
        <v>2024</v>
      </c>
      <c r="V6" s="6" t="s">
        <v>2025</v>
      </c>
      <c r="X6" s="6" t="s">
        <v>2026</v>
      </c>
      <c r="Y6" s="6" t="s">
        <v>2027</v>
      </c>
    </row>
    <row r="7" spans="2:25" x14ac:dyDescent="0.25">
      <c r="B7" s="6" t="s">
        <v>2028</v>
      </c>
      <c r="D7" s="6" t="s">
        <v>75</v>
      </c>
      <c r="E7" s="6" t="s">
        <v>862</v>
      </c>
      <c r="H7" s="6" t="s">
        <v>1979</v>
      </c>
      <c r="I7" s="6" t="s">
        <v>2029</v>
      </c>
      <c r="J7" s="6" t="s">
        <v>1307</v>
      </c>
      <c r="K7" s="6" t="s">
        <v>2030</v>
      </c>
      <c r="L7" s="6" t="s">
        <v>2031</v>
      </c>
      <c r="M7" s="6" t="s">
        <v>365</v>
      </c>
      <c r="N7" s="6" t="s">
        <v>2008</v>
      </c>
      <c r="O7" s="6" t="s">
        <v>1829</v>
      </c>
      <c r="P7" s="6" t="s">
        <v>2032</v>
      </c>
      <c r="Q7" s="6" t="s">
        <v>2033</v>
      </c>
      <c r="R7" s="6" t="s">
        <v>2034</v>
      </c>
      <c r="S7" s="6" t="s">
        <v>2035</v>
      </c>
      <c r="T7" s="6" t="s">
        <v>2036</v>
      </c>
      <c r="U7" s="6" t="s">
        <v>2037</v>
      </c>
      <c r="V7" s="6" t="s">
        <v>2038</v>
      </c>
      <c r="X7" s="6" t="s">
        <v>2039</v>
      </c>
      <c r="Y7" s="6" t="s">
        <v>2040</v>
      </c>
    </row>
    <row r="8" spans="2:25" x14ac:dyDescent="0.25">
      <c r="B8" s="6" t="s">
        <v>2041</v>
      </c>
      <c r="D8" s="6" t="s">
        <v>494</v>
      </c>
      <c r="E8" s="6" t="s">
        <v>1122</v>
      </c>
      <c r="H8" s="6" t="s">
        <v>1980</v>
      </c>
      <c r="I8" s="6" t="s">
        <v>2042</v>
      </c>
      <c r="J8" s="6" t="s">
        <v>268</v>
      </c>
      <c r="K8" s="6" t="s">
        <v>2043</v>
      </c>
      <c r="L8" s="6" t="s">
        <v>2044</v>
      </c>
      <c r="M8" s="6" t="s">
        <v>2035</v>
      </c>
      <c r="N8" s="6" t="s">
        <v>2035</v>
      </c>
      <c r="O8" s="6" t="s">
        <v>2045</v>
      </c>
      <c r="P8" s="6" t="s">
        <v>2046</v>
      </c>
      <c r="Q8" s="6" t="s">
        <v>2047</v>
      </c>
      <c r="R8" s="6" t="s">
        <v>2048</v>
      </c>
      <c r="S8" s="6" t="s">
        <v>2049</v>
      </c>
      <c r="T8" s="6" t="s">
        <v>2050</v>
      </c>
      <c r="U8" s="6" t="s">
        <v>2051</v>
      </c>
      <c r="V8" s="6" t="s">
        <v>2052</v>
      </c>
      <c r="X8" s="6" t="s">
        <v>2053</v>
      </c>
      <c r="Y8" s="6" t="s">
        <v>2054</v>
      </c>
    </row>
    <row r="9" spans="2:25" x14ac:dyDescent="0.25">
      <c r="B9" s="6" t="s">
        <v>2055</v>
      </c>
      <c r="D9" s="6" t="s">
        <v>1121</v>
      </c>
      <c r="E9" s="6" t="s">
        <v>2056</v>
      </c>
      <c r="H9" s="6" t="s">
        <v>347</v>
      </c>
      <c r="I9" s="6" t="s">
        <v>2057</v>
      </c>
      <c r="J9" s="6" t="s">
        <v>2058</v>
      </c>
      <c r="K9" s="6" t="s">
        <v>2059</v>
      </c>
      <c r="L9" s="6" t="s">
        <v>2060</v>
      </c>
      <c r="N9" s="6" t="s">
        <v>2061</v>
      </c>
      <c r="P9" s="6" t="s">
        <v>2062</v>
      </c>
      <c r="Q9" s="6" t="s">
        <v>2063</v>
      </c>
      <c r="R9" s="6" t="s">
        <v>2064</v>
      </c>
      <c r="T9" s="6" t="s">
        <v>2065</v>
      </c>
      <c r="U9" s="6" t="s">
        <v>2066</v>
      </c>
      <c r="V9" s="6" t="s">
        <v>2067</v>
      </c>
      <c r="X9" s="6" t="s">
        <v>2068</v>
      </c>
      <c r="Y9" s="6" t="s">
        <v>2069</v>
      </c>
    </row>
    <row r="10" spans="2:25" x14ac:dyDescent="0.25">
      <c r="B10" s="6" t="s">
        <v>2070</v>
      </c>
      <c r="D10" s="6" t="s">
        <v>1155</v>
      </c>
      <c r="E10" s="6" t="s">
        <v>76</v>
      </c>
      <c r="H10" s="6" t="s">
        <v>1828</v>
      </c>
      <c r="I10" s="6" t="s">
        <v>2071</v>
      </c>
      <c r="J10" s="6" t="s">
        <v>635</v>
      </c>
      <c r="K10" s="6" t="s">
        <v>2072</v>
      </c>
      <c r="L10" s="6" t="s">
        <v>2073</v>
      </c>
      <c r="N10" s="6" t="s">
        <v>2074</v>
      </c>
      <c r="P10" s="6" t="s">
        <v>2008</v>
      </c>
      <c r="Q10" s="6" t="s">
        <v>2075</v>
      </c>
      <c r="R10" s="6" t="s">
        <v>2076</v>
      </c>
      <c r="T10" s="6" t="s">
        <v>2077</v>
      </c>
      <c r="U10" s="6" t="s">
        <v>2078</v>
      </c>
      <c r="V10" s="6" t="s">
        <v>2079</v>
      </c>
      <c r="X10" s="6" t="s">
        <v>2080</v>
      </c>
      <c r="Y10" s="6" t="s">
        <v>2081</v>
      </c>
    </row>
    <row r="11" spans="2:25" x14ac:dyDescent="0.25">
      <c r="B11" s="6" t="s">
        <v>2082</v>
      </c>
      <c r="D11" s="6" t="s">
        <v>2083</v>
      </c>
      <c r="E11" s="6" t="s">
        <v>2084</v>
      </c>
      <c r="H11" s="6" t="s">
        <v>1981</v>
      </c>
      <c r="I11" s="6" t="s">
        <v>2085</v>
      </c>
      <c r="J11" s="6" t="s">
        <v>2086</v>
      </c>
      <c r="K11" s="6" t="s">
        <v>2087</v>
      </c>
      <c r="L11" s="6" t="s">
        <v>2088</v>
      </c>
      <c r="N11" s="6" t="s">
        <v>2089</v>
      </c>
      <c r="P11" s="6" t="s">
        <v>2035</v>
      </c>
      <c r="Q11" s="6" t="s">
        <v>2090</v>
      </c>
      <c r="R11" s="6" t="s">
        <v>2091</v>
      </c>
      <c r="T11" s="6" t="s">
        <v>365</v>
      </c>
      <c r="U11" s="6" t="s">
        <v>2092</v>
      </c>
      <c r="V11" s="6" t="s">
        <v>2093</v>
      </c>
      <c r="X11" s="6" t="s">
        <v>2094</v>
      </c>
      <c r="Y11" s="6" t="s">
        <v>2095</v>
      </c>
    </row>
    <row r="12" spans="2:25" x14ac:dyDescent="0.25">
      <c r="B12" s="6" t="s">
        <v>2096</v>
      </c>
      <c r="D12" s="6" t="s">
        <v>2097</v>
      </c>
      <c r="E12" s="6" t="s">
        <v>2098</v>
      </c>
      <c r="H12" s="6" t="s">
        <v>298</v>
      </c>
      <c r="I12" s="6" t="s">
        <v>2099</v>
      </c>
      <c r="J12" s="6" t="s">
        <v>1864</v>
      </c>
      <c r="K12" s="6" t="s">
        <v>2100</v>
      </c>
      <c r="L12" s="6" t="s">
        <v>2101</v>
      </c>
      <c r="N12" s="6" t="s">
        <v>2102</v>
      </c>
      <c r="P12" s="6" t="s">
        <v>2103</v>
      </c>
      <c r="Q12" s="6" t="s">
        <v>2104</v>
      </c>
      <c r="R12" s="6" t="s">
        <v>2105</v>
      </c>
      <c r="T12" s="6" t="s">
        <v>2106</v>
      </c>
      <c r="U12" s="6" t="s">
        <v>2107</v>
      </c>
      <c r="V12" s="6" t="s">
        <v>2108</v>
      </c>
      <c r="X12" s="6" t="s">
        <v>2109</v>
      </c>
      <c r="Y12" s="6" t="s">
        <v>2110</v>
      </c>
    </row>
    <row r="13" spans="2:25" x14ac:dyDescent="0.25">
      <c r="B13" s="6" t="s">
        <v>2111</v>
      </c>
      <c r="D13" s="6" t="s">
        <v>649</v>
      </c>
      <c r="E13" s="6" t="s">
        <v>2112</v>
      </c>
      <c r="H13" s="6" t="s">
        <v>1982</v>
      </c>
      <c r="I13" s="6" t="s">
        <v>2113</v>
      </c>
      <c r="J13" s="6" t="s">
        <v>2114</v>
      </c>
      <c r="K13" s="6" t="s">
        <v>2115</v>
      </c>
      <c r="L13" s="6" t="s">
        <v>2116</v>
      </c>
      <c r="P13" s="6" t="s">
        <v>2117</v>
      </c>
      <c r="Q13" s="6" t="s">
        <v>2118</v>
      </c>
      <c r="R13" s="6" t="s">
        <v>2119</v>
      </c>
      <c r="T13" s="6" t="s">
        <v>2120</v>
      </c>
      <c r="U13" s="6" t="s">
        <v>2121</v>
      </c>
      <c r="V13" s="6" t="s">
        <v>2122</v>
      </c>
      <c r="X13" s="6" t="s">
        <v>2123</v>
      </c>
      <c r="Y13" s="6" t="s">
        <v>2124</v>
      </c>
    </row>
    <row r="14" spans="2:25" x14ac:dyDescent="0.25">
      <c r="D14" s="6" t="s">
        <v>2125</v>
      </c>
      <c r="E14" s="6" t="s">
        <v>2126</v>
      </c>
      <c r="H14" s="6" t="s">
        <v>1849</v>
      </c>
      <c r="I14" s="6" t="s">
        <v>2127</v>
      </c>
      <c r="J14" s="6" t="s">
        <v>2128</v>
      </c>
      <c r="K14" s="6" t="s">
        <v>2129</v>
      </c>
      <c r="L14" s="6" t="s">
        <v>2130</v>
      </c>
      <c r="P14" s="6" t="s">
        <v>2131</v>
      </c>
      <c r="Q14" s="6" t="s">
        <v>2132</v>
      </c>
      <c r="R14" s="6" t="s">
        <v>2133</v>
      </c>
      <c r="T14" s="6" t="s">
        <v>2134</v>
      </c>
      <c r="U14" s="6" t="s">
        <v>2135</v>
      </c>
      <c r="V14" s="6" t="s">
        <v>2136</v>
      </c>
      <c r="X14" s="6" t="s">
        <v>2137</v>
      </c>
      <c r="Y14" s="6" t="s">
        <v>2138</v>
      </c>
    </row>
    <row r="15" spans="2:25" x14ac:dyDescent="0.25">
      <c r="D15" s="6" t="s">
        <v>2139</v>
      </c>
      <c r="E15" s="6" t="s">
        <v>224</v>
      </c>
      <c r="H15" s="6" t="s">
        <v>278</v>
      </c>
      <c r="I15" s="6" t="s">
        <v>2140</v>
      </c>
      <c r="J15" s="6" t="s">
        <v>215</v>
      </c>
      <c r="K15" s="6" t="s">
        <v>2141</v>
      </c>
      <c r="L15" s="6" t="s">
        <v>2142</v>
      </c>
      <c r="P15" s="6" t="s">
        <v>2143</v>
      </c>
      <c r="Q15" s="6" t="s">
        <v>2144</v>
      </c>
      <c r="R15" s="6" t="s">
        <v>2145</v>
      </c>
      <c r="T15" s="6" t="s">
        <v>2146</v>
      </c>
      <c r="U15" s="6" t="s">
        <v>2147</v>
      </c>
      <c r="V15" s="6" t="s">
        <v>2148</v>
      </c>
      <c r="X15" s="6" t="s">
        <v>2149</v>
      </c>
    </row>
    <row r="16" spans="2:25" x14ac:dyDescent="0.25">
      <c r="D16" s="6" t="s">
        <v>2150</v>
      </c>
      <c r="E16" s="6" t="s">
        <v>2151</v>
      </c>
      <c r="H16" s="6" t="s">
        <v>1983</v>
      </c>
      <c r="I16" s="6" t="s">
        <v>2152</v>
      </c>
      <c r="J16" s="6" t="s">
        <v>45</v>
      </c>
      <c r="K16" s="6" t="s">
        <v>2153</v>
      </c>
      <c r="L16" s="6" t="s">
        <v>2154</v>
      </c>
      <c r="P16" s="6" t="s">
        <v>2155</v>
      </c>
      <c r="Q16" s="6" t="s">
        <v>2156</v>
      </c>
      <c r="R16" s="6" t="s">
        <v>2157</v>
      </c>
      <c r="T16" s="6" t="s">
        <v>2158</v>
      </c>
      <c r="U16" s="6" t="s">
        <v>2159</v>
      </c>
      <c r="V16" s="6" t="s">
        <v>2160</v>
      </c>
      <c r="X16" s="6" t="s">
        <v>2161</v>
      </c>
    </row>
    <row r="17" spans="4:24" x14ac:dyDescent="0.25">
      <c r="D17" s="6" t="s">
        <v>2162</v>
      </c>
      <c r="E17" s="6" t="s">
        <v>2163</v>
      </c>
      <c r="H17" s="6" t="s">
        <v>1984</v>
      </c>
      <c r="I17" s="6" t="s">
        <v>2164</v>
      </c>
      <c r="J17" s="6" t="s">
        <v>92</v>
      </c>
      <c r="K17" s="6" t="s">
        <v>2165</v>
      </c>
      <c r="L17" s="6" t="s">
        <v>2166</v>
      </c>
      <c r="P17" s="6" t="s">
        <v>2167</v>
      </c>
      <c r="Q17" s="6" t="s">
        <v>2168</v>
      </c>
      <c r="R17" s="6" t="s">
        <v>2169</v>
      </c>
      <c r="T17" s="6" t="s">
        <v>2170</v>
      </c>
      <c r="U17" s="6" t="s">
        <v>2171</v>
      </c>
      <c r="V17" s="6" t="s">
        <v>2172</v>
      </c>
      <c r="X17" s="6" t="s">
        <v>2173</v>
      </c>
    </row>
    <row r="18" spans="4:24" x14ac:dyDescent="0.25">
      <c r="D18" s="6" t="s">
        <v>87</v>
      </c>
      <c r="E18" s="6" t="s">
        <v>2174</v>
      </c>
      <c r="H18" s="6" t="s">
        <v>1985</v>
      </c>
      <c r="I18" s="6" t="s">
        <v>2175</v>
      </c>
      <c r="J18" s="6" t="s">
        <v>1055</v>
      </c>
      <c r="K18" s="6" t="s">
        <v>2176</v>
      </c>
      <c r="L18" s="6" t="s">
        <v>2177</v>
      </c>
      <c r="P18" s="6" t="s">
        <v>2178</v>
      </c>
      <c r="Q18" s="6" t="s">
        <v>2179</v>
      </c>
      <c r="R18" s="6" t="s">
        <v>2180</v>
      </c>
      <c r="U18" s="6" t="s">
        <v>2181</v>
      </c>
    </row>
    <row r="19" spans="4:24" x14ac:dyDescent="0.25">
      <c r="D19" s="6" t="s">
        <v>2182</v>
      </c>
      <c r="E19" s="6" t="s">
        <v>2183</v>
      </c>
      <c r="H19" s="6" t="s">
        <v>684</v>
      </c>
      <c r="I19" s="6" t="s">
        <v>2184</v>
      </c>
      <c r="J19" s="6" t="s">
        <v>865</v>
      </c>
      <c r="K19" s="6" t="s">
        <v>2185</v>
      </c>
      <c r="L19" s="6" t="s">
        <v>2186</v>
      </c>
      <c r="P19" s="6" t="s">
        <v>2187</v>
      </c>
      <c r="Q19" s="6" t="s">
        <v>2143</v>
      </c>
      <c r="R19" s="6" t="s">
        <v>2188</v>
      </c>
      <c r="U19" s="6" t="s">
        <v>2189</v>
      </c>
    </row>
    <row r="20" spans="4:24" x14ac:dyDescent="0.25">
      <c r="D20" s="6" t="s">
        <v>1957</v>
      </c>
      <c r="E20" s="6" t="s">
        <v>2190</v>
      </c>
      <c r="H20" s="6" t="s">
        <v>740</v>
      </c>
      <c r="I20" s="6" t="s">
        <v>2141</v>
      </c>
      <c r="J20" s="6" t="s">
        <v>152</v>
      </c>
      <c r="K20" s="6" t="s">
        <v>2191</v>
      </c>
      <c r="L20" s="6" t="s">
        <v>2192</v>
      </c>
      <c r="Q20" s="6" t="s">
        <v>2193</v>
      </c>
      <c r="R20" s="6" t="s">
        <v>2194</v>
      </c>
      <c r="U20" s="6" t="s">
        <v>2195</v>
      </c>
    </row>
    <row r="21" spans="4:24" x14ac:dyDescent="0.25">
      <c r="D21" s="6" t="s">
        <v>2196</v>
      </c>
      <c r="E21" s="6" t="s">
        <v>2197</v>
      </c>
      <c r="I21" s="6" t="s">
        <v>2198</v>
      </c>
      <c r="J21" s="6" t="s">
        <v>2199</v>
      </c>
      <c r="K21" s="6" t="s">
        <v>2200</v>
      </c>
      <c r="L21" s="6" t="s">
        <v>2201</v>
      </c>
      <c r="Q21" s="6" t="s">
        <v>2202</v>
      </c>
      <c r="R21" s="6" t="s">
        <v>2203</v>
      </c>
      <c r="U21" s="6" t="s">
        <v>2204</v>
      </c>
    </row>
    <row r="22" spans="4:24" x14ac:dyDescent="0.25">
      <c r="D22" s="6" t="s">
        <v>252</v>
      </c>
      <c r="E22" s="6" t="s">
        <v>2205</v>
      </c>
      <c r="J22" s="6" t="s">
        <v>1165</v>
      </c>
      <c r="L22" s="6" t="s">
        <v>2206</v>
      </c>
      <c r="Q22" s="6" t="s">
        <v>1005</v>
      </c>
      <c r="R22" s="6" t="s">
        <v>2207</v>
      </c>
      <c r="U22" s="6" t="s">
        <v>2208</v>
      </c>
    </row>
    <row r="23" spans="4:24" x14ac:dyDescent="0.25">
      <c r="D23" s="6" t="s">
        <v>2209</v>
      </c>
      <c r="E23" s="6" t="s">
        <v>2210</v>
      </c>
      <c r="J23" s="6" t="s">
        <v>357</v>
      </c>
      <c r="L23" s="6" t="s">
        <v>2211</v>
      </c>
      <c r="Q23" s="6" t="s">
        <v>2212</v>
      </c>
      <c r="R23" s="6" t="s">
        <v>2213</v>
      </c>
      <c r="U23" s="6" t="s">
        <v>2214</v>
      </c>
    </row>
    <row r="24" spans="4:24" x14ac:dyDescent="0.25">
      <c r="D24" s="6" t="s">
        <v>137</v>
      </c>
      <c r="E24" s="6" t="s">
        <v>1701</v>
      </c>
      <c r="J24" s="6" t="s">
        <v>2215</v>
      </c>
      <c r="L24" s="6" t="s">
        <v>2216</v>
      </c>
      <c r="Q24" s="6" t="s">
        <v>2217</v>
      </c>
      <c r="R24" s="6" t="s">
        <v>2218</v>
      </c>
      <c r="U24" s="6" t="s">
        <v>2219</v>
      </c>
    </row>
    <row r="25" spans="4:24" x14ac:dyDescent="0.25">
      <c r="D25" s="6" t="s">
        <v>198</v>
      </c>
      <c r="E25" s="6" t="s">
        <v>2220</v>
      </c>
      <c r="J25" s="6" t="s">
        <v>132</v>
      </c>
      <c r="L25" s="6" t="s">
        <v>2221</v>
      </c>
      <c r="Q25" s="6" t="s">
        <v>1211</v>
      </c>
      <c r="R25" s="6" t="s">
        <v>2222</v>
      </c>
      <c r="U25" s="6" t="s">
        <v>2223</v>
      </c>
    </row>
    <row r="26" spans="4:24" x14ac:dyDescent="0.25">
      <c r="D26" s="6" t="s">
        <v>2224</v>
      </c>
      <c r="E26" s="6" t="s">
        <v>483</v>
      </c>
      <c r="J26" s="6" t="s">
        <v>512</v>
      </c>
      <c r="Q26" s="6" t="s">
        <v>2225</v>
      </c>
      <c r="R26" s="6" t="s">
        <v>2226</v>
      </c>
    </row>
    <row r="27" spans="4:24" x14ac:dyDescent="0.25">
      <c r="D27" s="6" t="s">
        <v>538</v>
      </c>
      <c r="E27" s="6" t="s">
        <v>2227</v>
      </c>
      <c r="J27" s="6" t="s">
        <v>499</v>
      </c>
      <c r="Q27" s="6" t="s">
        <v>2228</v>
      </c>
      <c r="R27" s="6" t="s">
        <v>2229</v>
      </c>
    </row>
    <row r="28" spans="4:24" x14ac:dyDescent="0.25">
      <c r="D28" s="6" t="s">
        <v>2230</v>
      </c>
      <c r="E28" s="6" t="s">
        <v>2231</v>
      </c>
      <c r="J28" s="6" t="s">
        <v>2232</v>
      </c>
      <c r="Q28" s="6" t="s">
        <v>2233</v>
      </c>
      <c r="R28" s="6" t="s">
        <v>1973</v>
      </c>
    </row>
    <row r="29" spans="4:24" x14ac:dyDescent="0.25">
      <c r="D29" s="6" t="s">
        <v>2234</v>
      </c>
      <c r="E29" s="6" t="s">
        <v>957</v>
      </c>
      <c r="J29" s="6" t="s">
        <v>164</v>
      </c>
    </row>
    <row r="30" spans="4:24" x14ac:dyDescent="0.25">
      <c r="D30" s="6" t="s">
        <v>2235</v>
      </c>
      <c r="E30" s="6" t="s">
        <v>2236</v>
      </c>
      <c r="J30" s="6" t="s">
        <v>2237</v>
      </c>
    </row>
    <row r="31" spans="4:24" x14ac:dyDescent="0.25">
      <c r="D31" s="6" t="s">
        <v>2238</v>
      </c>
      <c r="E31" s="6" t="s">
        <v>2239</v>
      </c>
      <c r="J31" s="6" t="s">
        <v>64</v>
      </c>
    </row>
    <row r="32" spans="4:24" x14ac:dyDescent="0.25">
      <c r="D32" s="6" t="s">
        <v>2240</v>
      </c>
      <c r="E32" s="6" t="s">
        <v>2241</v>
      </c>
      <c r="J32" s="6" t="s">
        <v>2242</v>
      </c>
    </row>
    <row r="33" spans="4:10" x14ac:dyDescent="0.25">
      <c r="D33" s="6" t="s">
        <v>598</v>
      </c>
      <c r="E33" s="6" t="s">
        <v>2243</v>
      </c>
      <c r="J33" s="6" t="s">
        <v>2244</v>
      </c>
    </row>
    <row r="34" spans="4:10" x14ac:dyDescent="0.25">
      <c r="D34" s="6" t="s">
        <v>990</v>
      </c>
      <c r="E34" s="6" t="s">
        <v>2245</v>
      </c>
      <c r="J34" s="6" t="s">
        <v>80</v>
      </c>
    </row>
    <row r="35" spans="4:10" x14ac:dyDescent="0.25">
      <c r="D35" s="6" t="s">
        <v>966</v>
      </c>
      <c r="E35" s="6" t="s">
        <v>160</v>
      </c>
    </row>
    <row r="36" spans="4:10" x14ac:dyDescent="0.25">
      <c r="D36" s="6" t="s">
        <v>159</v>
      </c>
      <c r="E36" s="6" t="s">
        <v>2246</v>
      </c>
    </row>
    <row r="37" spans="4:10" x14ac:dyDescent="0.25">
      <c r="D37" s="6" t="s">
        <v>2247</v>
      </c>
      <c r="E37" s="6" t="s">
        <v>2248</v>
      </c>
    </row>
    <row r="38" spans="4:10" x14ac:dyDescent="0.25">
      <c r="D38" s="6" t="s">
        <v>1160</v>
      </c>
      <c r="E38" s="6" t="s">
        <v>2249</v>
      </c>
    </row>
    <row r="39" spans="4:10" x14ac:dyDescent="0.25">
      <c r="D39" s="6" t="s">
        <v>2250</v>
      </c>
      <c r="E39" s="6" t="s">
        <v>2251</v>
      </c>
    </row>
    <row r="40" spans="4:10" x14ac:dyDescent="0.25">
      <c r="D40" s="6" t="s">
        <v>1415</v>
      </c>
      <c r="E40" s="6" t="s">
        <v>2252</v>
      </c>
    </row>
    <row r="41" spans="4:10" x14ac:dyDescent="0.25">
      <c r="D41" s="6" t="s">
        <v>2253</v>
      </c>
      <c r="E41" s="6" t="s">
        <v>2254</v>
      </c>
    </row>
    <row r="42" spans="4:10" x14ac:dyDescent="0.25">
      <c r="D42" s="6" t="s">
        <v>1520</v>
      </c>
      <c r="E42" s="6" t="s">
        <v>2255</v>
      </c>
    </row>
    <row r="43" spans="4:10" x14ac:dyDescent="0.25">
      <c r="D43" s="6" t="s">
        <v>2256</v>
      </c>
      <c r="E43" s="6" t="s">
        <v>2257</v>
      </c>
    </row>
    <row r="44" spans="4:10" x14ac:dyDescent="0.25">
      <c r="D44" s="6" t="s">
        <v>956</v>
      </c>
      <c r="E44" s="6" t="s">
        <v>2258</v>
      </c>
    </row>
    <row r="45" spans="4:10" x14ac:dyDescent="0.25">
      <c r="D45" s="6" t="s">
        <v>2259</v>
      </c>
      <c r="E45" s="6" t="s">
        <v>2260</v>
      </c>
    </row>
    <row r="46" spans="4:10" x14ac:dyDescent="0.25">
      <c r="D46" s="6" t="s">
        <v>1598</v>
      </c>
      <c r="E46" s="6" t="s">
        <v>2261</v>
      </c>
    </row>
    <row r="47" spans="4:10" x14ac:dyDescent="0.25">
      <c r="D47" s="6" t="s">
        <v>2262</v>
      </c>
      <c r="E47" s="6" t="s">
        <v>2263</v>
      </c>
    </row>
    <row r="48" spans="4:10" x14ac:dyDescent="0.25">
      <c r="D48" s="6" t="s">
        <v>1145</v>
      </c>
      <c r="E48" s="6" t="s">
        <v>2264</v>
      </c>
    </row>
    <row r="49" spans="4:5" x14ac:dyDescent="0.25">
      <c r="D49" s="6" t="s">
        <v>147</v>
      </c>
      <c r="E49" s="6" t="s">
        <v>2265</v>
      </c>
    </row>
    <row r="50" spans="4:5" x14ac:dyDescent="0.25">
      <c r="D50" s="6" t="s">
        <v>584</v>
      </c>
      <c r="E50" s="6" t="s">
        <v>2266</v>
      </c>
    </row>
    <row r="51" spans="4:5" x14ac:dyDescent="0.25">
      <c r="D51" s="6" t="s">
        <v>2267</v>
      </c>
      <c r="E51" s="6" t="s">
        <v>2268</v>
      </c>
    </row>
    <row r="52" spans="4:5" x14ac:dyDescent="0.25">
      <c r="D52" s="6" t="s">
        <v>2269</v>
      </c>
      <c r="E52" s="6" t="s">
        <v>2270</v>
      </c>
    </row>
    <row r="53" spans="4:5" x14ac:dyDescent="0.25">
      <c r="D53" s="6" t="s">
        <v>2271</v>
      </c>
      <c r="E53" s="6" t="s">
        <v>2272</v>
      </c>
    </row>
    <row r="54" spans="4:5" x14ac:dyDescent="0.25">
      <c r="D54" s="6" t="s">
        <v>420</v>
      </c>
      <c r="E54" s="6" t="s">
        <v>2273</v>
      </c>
    </row>
    <row r="55" spans="4:5" x14ac:dyDescent="0.25">
      <c r="D55" s="6" t="s">
        <v>2274</v>
      </c>
      <c r="E55" s="6" t="s">
        <v>2275</v>
      </c>
    </row>
    <row r="56" spans="4:5" x14ac:dyDescent="0.25">
      <c r="D56" s="6" t="s">
        <v>826</v>
      </c>
      <c r="E56" s="6" t="s">
        <v>916</v>
      </c>
    </row>
    <row r="57" spans="4:5" x14ac:dyDescent="0.25">
      <c r="D57" s="6" t="s">
        <v>211</v>
      </c>
      <c r="E57" s="6" t="s">
        <v>1314</v>
      </c>
    </row>
    <row r="58" spans="4:5" x14ac:dyDescent="0.25">
      <c r="D58" s="6" t="s">
        <v>2276</v>
      </c>
      <c r="E58" s="6" t="s">
        <v>2277</v>
      </c>
    </row>
    <row r="59" spans="4:5" x14ac:dyDescent="0.25">
      <c r="D59" s="6" t="s">
        <v>2278</v>
      </c>
      <c r="E59" s="6" t="s">
        <v>353</v>
      </c>
    </row>
    <row r="60" spans="4:5" x14ac:dyDescent="0.25">
      <c r="D60" s="6" t="s">
        <v>2279</v>
      </c>
      <c r="E60" s="6" t="s">
        <v>2280</v>
      </c>
    </row>
    <row r="61" spans="4:5" x14ac:dyDescent="0.25">
      <c r="D61" s="6" t="s">
        <v>2281</v>
      </c>
      <c r="E61" s="6" t="s">
        <v>2282</v>
      </c>
    </row>
    <row r="62" spans="4:5" x14ac:dyDescent="0.25">
      <c r="D62" s="6" t="s">
        <v>2283</v>
      </c>
      <c r="E62" s="6" t="s">
        <v>1456</v>
      </c>
    </row>
    <row r="63" spans="4:5" x14ac:dyDescent="0.25">
      <c r="D63" s="6" t="s">
        <v>2284</v>
      </c>
      <c r="E63" s="6" t="s">
        <v>2285</v>
      </c>
    </row>
    <row r="64" spans="4:5" x14ac:dyDescent="0.25">
      <c r="D64" s="6" t="s">
        <v>2286</v>
      </c>
      <c r="E64" s="6" t="s">
        <v>2287</v>
      </c>
    </row>
    <row r="65" spans="4:5" x14ac:dyDescent="0.25">
      <c r="D65" s="6" t="s">
        <v>2288</v>
      </c>
      <c r="E65" s="6" t="s">
        <v>2289</v>
      </c>
    </row>
    <row r="66" spans="4:5" x14ac:dyDescent="0.25">
      <c r="D66" s="6" t="s">
        <v>1455</v>
      </c>
      <c r="E66" s="6" t="s">
        <v>2290</v>
      </c>
    </row>
    <row r="67" spans="4:5" x14ac:dyDescent="0.25">
      <c r="D67" s="6" t="s">
        <v>2291</v>
      </c>
      <c r="E67" s="6" t="s">
        <v>967</v>
      </c>
    </row>
    <row r="68" spans="4:5" x14ac:dyDescent="0.25">
      <c r="D68" s="6" t="s">
        <v>2292</v>
      </c>
      <c r="E68" s="6" t="s">
        <v>264</v>
      </c>
    </row>
    <row r="69" spans="4:5" x14ac:dyDescent="0.25">
      <c r="D69" s="6" t="s">
        <v>2293</v>
      </c>
      <c r="E69" s="6" t="s">
        <v>2294</v>
      </c>
    </row>
    <row r="70" spans="4:5" x14ac:dyDescent="0.25">
      <c r="D70" s="6" t="s">
        <v>2295</v>
      </c>
      <c r="E70" s="6" t="s">
        <v>236</v>
      </c>
    </row>
    <row r="71" spans="4:5" x14ac:dyDescent="0.25">
      <c r="D71" s="6" t="s">
        <v>127</v>
      </c>
      <c r="E71" s="6" t="s">
        <v>2296</v>
      </c>
    </row>
    <row r="72" spans="4:5" x14ac:dyDescent="0.25">
      <c r="D72" s="6" t="s">
        <v>2297</v>
      </c>
      <c r="E72" s="6" t="s">
        <v>555</v>
      </c>
    </row>
    <row r="73" spans="4:5" x14ac:dyDescent="0.25">
      <c r="D73" s="6" t="s">
        <v>2298</v>
      </c>
      <c r="E73" s="6" t="s">
        <v>1322</v>
      </c>
    </row>
    <row r="74" spans="4:5" x14ac:dyDescent="0.25">
      <c r="D74" s="6" t="s">
        <v>2299</v>
      </c>
      <c r="E74" s="6" t="s">
        <v>2300</v>
      </c>
    </row>
    <row r="75" spans="4:5" x14ac:dyDescent="0.25">
      <c r="D75" s="6" t="s">
        <v>460</v>
      </c>
      <c r="E75" s="6" t="s">
        <v>2301</v>
      </c>
    </row>
    <row r="76" spans="4:5" x14ac:dyDescent="0.25">
      <c r="D76" s="6" t="s">
        <v>2302</v>
      </c>
      <c r="E76" s="6" t="s">
        <v>1001</v>
      </c>
    </row>
    <row r="77" spans="4:5" x14ac:dyDescent="0.25">
      <c r="D77" s="6" t="s">
        <v>2303</v>
      </c>
      <c r="E77" s="6" t="s">
        <v>2304</v>
      </c>
    </row>
    <row r="78" spans="4:5" x14ac:dyDescent="0.25">
      <c r="D78" s="6" t="s">
        <v>2305</v>
      </c>
      <c r="E78" s="6" t="s">
        <v>2306</v>
      </c>
    </row>
    <row r="79" spans="4:5" x14ac:dyDescent="0.25">
      <c r="D79" s="6" t="s">
        <v>2307</v>
      </c>
      <c r="E79" s="6" t="s">
        <v>2308</v>
      </c>
    </row>
    <row r="80" spans="4:5" x14ac:dyDescent="0.25">
      <c r="D80" s="6" t="s">
        <v>40</v>
      </c>
      <c r="E80" s="6" t="s">
        <v>2309</v>
      </c>
    </row>
    <row r="81" spans="4:5" x14ac:dyDescent="0.25">
      <c r="D81" s="6" t="s">
        <v>2310</v>
      </c>
      <c r="E81" s="6" t="s">
        <v>2311</v>
      </c>
    </row>
    <row r="82" spans="4:5" x14ac:dyDescent="0.25">
      <c r="D82" s="6" t="s">
        <v>2312</v>
      </c>
      <c r="E82" s="6" t="s">
        <v>991</v>
      </c>
    </row>
    <row r="83" spans="4:5" x14ac:dyDescent="0.25">
      <c r="D83" s="6" t="s">
        <v>2313</v>
      </c>
      <c r="E83" s="6" t="s">
        <v>2314</v>
      </c>
    </row>
    <row r="84" spans="4:5" x14ac:dyDescent="0.25">
      <c r="D84" s="6" t="s">
        <v>2315</v>
      </c>
      <c r="E84" s="6" t="s">
        <v>2316</v>
      </c>
    </row>
    <row r="85" spans="4:5" x14ac:dyDescent="0.25">
      <c r="D85" s="6" t="s">
        <v>2317</v>
      </c>
      <c r="E85" s="6" t="s">
        <v>308</v>
      </c>
    </row>
    <row r="86" spans="4:5" x14ac:dyDescent="0.25">
      <c r="D86" s="6" t="s">
        <v>2318</v>
      </c>
      <c r="E86" s="6" t="s">
        <v>1191</v>
      </c>
    </row>
    <row r="87" spans="4:5" x14ac:dyDescent="0.25">
      <c r="D87" s="6" t="s">
        <v>2319</v>
      </c>
      <c r="E87" s="6" t="s">
        <v>2320</v>
      </c>
    </row>
    <row r="88" spans="4:5" x14ac:dyDescent="0.25">
      <c r="D88" s="6" t="s">
        <v>2321</v>
      </c>
      <c r="E88" s="6" t="s">
        <v>2322</v>
      </c>
    </row>
    <row r="89" spans="4:5" x14ac:dyDescent="0.25">
      <c r="D89" s="6" t="s">
        <v>2323</v>
      </c>
      <c r="E89" s="6" t="s">
        <v>2324</v>
      </c>
    </row>
    <row r="90" spans="4:5" x14ac:dyDescent="0.25">
      <c r="D90" s="6" t="s">
        <v>2325</v>
      </c>
      <c r="E90" s="6" t="s">
        <v>2326</v>
      </c>
    </row>
    <row r="91" spans="4:5" x14ac:dyDescent="0.25">
      <c r="D91" s="6" t="s">
        <v>2327</v>
      </c>
      <c r="E91" s="6" t="s">
        <v>2328</v>
      </c>
    </row>
    <row r="92" spans="4:5" x14ac:dyDescent="0.25">
      <c r="D92" s="6" t="s">
        <v>2329</v>
      </c>
      <c r="E92" s="6" t="s">
        <v>2330</v>
      </c>
    </row>
    <row r="93" spans="4:5" x14ac:dyDescent="0.25">
      <c r="D93" s="6" t="s">
        <v>2331</v>
      </c>
      <c r="E93" s="6" t="s">
        <v>2332</v>
      </c>
    </row>
    <row r="94" spans="4:5" x14ac:dyDescent="0.25">
      <c r="D94" s="6" t="s">
        <v>2333</v>
      </c>
      <c r="E94" s="6" t="s">
        <v>1024</v>
      </c>
    </row>
    <row r="95" spans="4:5" x14ac:dyDescent="0.25">
      <c r="D95" s="6" t="s">
        <v>59</v>
      </c>
      <c r="E95" s="6" t="s">
        <v>2334</v>
      </c>
    </row>
    <row r="96" spans="4:5" x14ac:dyDescent="0.25">
      <c r="D96" s="6" t="s">
        <v>2335</v>
      </c>
      <c r="E96" s="6" t="s">
        <v>650</v>
      </c>
    </row>
    <row r="97" spans="4:5" x14ac:dyDescent="0.25">
      <c r="D97" s="6" t="s">
        <v>2336</v>
      </c>
      <c r="E97" s="6" t="s">
        <v>539</v>
      </c>
    </row>
    <row r="98" spans="4:5" x14ac:dyDescent="0.25">
      <c r="D98" s="6" t="s">
        <v>2337</v>
      </c>
      <c r="E98" s="6" t="s">
        <v>1265</v>
      </c>
    </row>
    <row r="99" spans="4:5" x14ac:dyDescent="0.25">
      <c r="D99" s="6" t="s">
        <v>408</v>
      </c>
      <c r="E99" s="6" t="s">
        <v>2338</v>
      </c>
    </row>
    <row r="100" spans="4:5" x14ac:dyDescent="0.25">
      <c r="D100" s="6" t="s">
        <v>2339</v>
      </c>
      <c r="E100" s="6" t="s">
        <v>2340</v>
      </c>
    </row>
    <row r="101" spans="4:5" x14ac:dyDescent="0.25">
      <c r="D101" s="6" t="s">
        <v>2341</v>
      </c>
      <c r="E101" s="6" t="s">
        <v>421</v>
      </c>
    </row>
    <row r="102" spans="4:5" x14ac:dyDescent="0.25">
      <c r="D102" s="6" t="s">
        <v>2342</v>
      </c>
      <c r="E102" s="6" t="s">
        <v>1407</v>
      </c>
    </row>
    <row r="103" spans="4:5" x14ac:dyDescent="0.25">
      <c r="D103" s="6" t="s">
        <v>2343</v>
      </c>
      <c r="E103" s="6" t="s">
        <v>88</v>
      </c>
    </row>
    <row r="104" spans="4:5" x14ac:dyDescent="0.25">
      <c r="D104" s="6" t="s">
        <v>2344</v>
      </c>
      <c r="E104" s="6" t="s">
        <v>2345</v>
      </c>
    </row>
    <row r="105" spans="4:5" x14ac:dyDescent="0.25">
      <c r="D105" s="6" t="s">
        <v>1000</v>
      </c>
      <c r="E105" s="6" t="s">
        <v>2346</v>
      </c>
    </row>
    <row r="106" spans="4:5" x14ac:dyDescent="0.25">
      <c r="D106" s="6" t="s">
        <v>1213</v>
      </c>
      <c r="E106" s="6" t="s">
        <v>1288</v>
      </c>
    </row>
    <row r="107" spans="4:5" x14ac:dyDescent="0.25">
      <c r="D107" s="6" t="s">
        <v>482</v>
      </c>
      <c r="E107" s="6" t="s">
        <v>2347</v>
      </c>
    </row>
    <row r="108" spans="4:5" x14ac:dyDescent="0.25">
      <c r="D108" s="6" t="s">
        <v>1547</v>
      </c>
      <c r="E108" s="6" t="s">
        <v>2348</v>
      </c>
    </row>
    <row r="109" spans="4:5" x14ac:dyDescent="0.25">
      <c r="D109" s="6" t="s">
        <v>2349</v>
      </c>
      <c r="E109" s="6" t="s">
        <v>112</v>
      </c>
    </row>
    <row r="110" spans="4:5" x14ac:dyDescent="0.25">
      <c r="D110" s="6" t="s">
        <v>2350</v>
      </c>
      <c r="E110" s="6" t="s">
        <v>60</v>
      </c>
    </row>
    <row r="111" spans="4:5" x14ac:dyDescent="0.25">
      <c r="D111" s="6" t="s">
        <v>2351</v>
      </c>
      <c r="E111" s="6" t="s">
        <v>2352</v>
      </c>
    </row>
    <row r="112" spans="4:5" x14ac:dyDescent="0.25">
      <c r="D112" s="6" t="s">
        <v>814</v>
      </c>
      <c r="E112" s="6" t="s">
        <v>2353</v>
      </c>
    </row>
    <row r="113" spans="4:5" x14ac:dyDescent="0.25">
      <c r="D113" s="6" t="s">
        <v>263</v>
      </c>
      <c r="E113" s="6" t="s">
        <v>2354</v>
      </c>
    </row>
    <row r="114" spans="4:5" x14ac:dyDescent="0.25">
      <c r="D114" s="6" t="s">
        <v>1218</v>
      </c>
      <c r="E114" s="6" t="s">
        <v>2355</v>
      </c>
    </row>
    <row r="115" spans="4:5" x14ac:dyDescent="0.25">
      <c r="D115" s="6" t="s">
        <v>630</v>
      </c>
      <c r="E115" s="6" t="s">
        <v>2356</v>
      </c>
    </row>
    <row r="116" spans="4:5" x14ac:dyDescent="0.25">
      <c r="D116" s="6" t="s">
        <v>307</v>
      </c>
      <c r="E116" s="6" t="s">
        <v>2357</v>
      </c>
    </row>
    <row r="117" spans="4:5" x14ac:dyDescent="0.25">
      <c r="D117" s="6" t="s">
        <v>2358</v>
      </c>
      <c r="E117" s="6" t="s">
        <v>2359</v>
      </c>
    </row>
    <row r="118" spans="4:5" x14ac:dyDescent="0.25">
      <c r="D118" s="6" t="s">
        <v>2360</v>
      </c>
      <c r="E118" s="6" t="s">
        <v>2361</v>
      </c>
    </row>
    <row r="119" spans="4:5" x14ac:dyDescent="0.25">
      <c r="D119" s="6" t="s">
        <v>2362</v>
      </c>
      <c r="E119" s="6" t="s">
        <v>2363</v>
      </c>
    </row>
    <row r="120" spans="4:5" x14ac:dyDescent="0.25">
      <c r="D120" s="6" t="s">
        <v>2364</v>
      </c>
      <c r="E120" s="6" t="s">
        <v>2365</v>
      </c>
    </row>
    <row r="121" spans="4:5" x14ac:dyDescent="0.25">
      <c r="D121" s="6" t="s">
        <v>880</v>
      </c>
      <c r="E121" s="6" t="s">
        <v>2366</v>
      </c>
    </row>
    <row r="122" spans="4:5" x14ac:dyDescent="0.25">
      <c r="D122" s="6" t="s">
        <v>1567</v>
      </c>
      <c r="E122" s="6" t="s">
        <v>599</v>
      </c>
    </row>
    <row r="123" spans="4:5" x14ac:dyDescent="0.25">
      <c r="D123" s="6" t="s">
        <v>1786</v>
      </c>
      <c r="E123" s="6" t="s">
        <v>2367</v>
      </c>
    </row>
    <row r="124" spans="4:5" x14ac:dyDescent="0.25">
      <c r="D124" s="6" t="s">
        <v>235</v>
      </c>
      <c r="E124" s="6" t="s">
        <v>2368</v>
      </c>
    </row>
    <row r="125" spans="4:5" x14ac:dyDescent="0.25">
      <c r="D125" s="6" t="s">
        <v>518</v>
      </c>
      <c r="E125" s="6" t="s">
        <v>1146</v>
      </c>
    </row>
    <row r="126" spans="4:5" x14ac:dyDescent="0.25">
      <c r="D126" s="6" t="s">
        <v>2369</v>
      </c>
      <c r="E126" s="6" t="s">
        <v>495</v>
      </c>
    </row>
    <row r="127" spans="4:5" x14ac:dyDescent="0.25">
      <c r="D127" s="6" t="s">
        <v>2370</v>
      </c>
      <c r="E127" s="6" t="s">
        <v>712</v>
      </c>
    </row>
    <row r="128" spans="4:5" x14ac:dyDescent="0.25">
      <c r="D128" s="6" t="s">
        <v>2371</v>
      </c>
      <c r="E128" s="6" t="s">
        <v>2372</v>
      </c>
    </row>
    <row r="129" spans="4:5" x14ac:dyDescent="0.25">
      <c r="D129" s="6" t="s">
        <v>1112</v>
      </c>
      <c r="E129" s="6" t="s">
        <v>733</v>
      </c>
    </row>
    <row r="130" spans="4:5" x14ac:dyDescent="0.25">
      <c r="D130" s="6" t="s">
        <v>2373</v>
      </c>
      <c r="E130" s="6" t="s">
        <v>2374</v>
      </c>
    </row>
    <row r="131" spans="4:5" x14ac:dyDescent="0.25">
      <c r="D131" s="6" t="s">
        <v>2375</v>
      </c>
      <c r="E131" s="6" t="s">
        <v>509</v>
      </c>
    </row>
    <row r="132" spans="4:5" x14ac:dyDescent="0.25">
      <c r="D132" s="6" t="s">
        <v>2376</v>
      </c>
      <c r="E132" s="6" t="s">
        <v>2377</v>
      </c>
    </row>
    <row r="133" spans="4:5" x14ac:dyDescent="0.25">
      <c r="D133" s="6" t="s">
        <v>1665</v>
      </c>
      <c r="E133" s="6" t="s">
        <v>409</v>
      </c>
    </row>
    <row r="134" spans="4:5" x14ac:dyDescent="0.25">
      <c r="D134" s="6" t="s">
        <v>2378</v>
      </c>
      <c r="E134" s="6" t="s">
        <v>2379</v>
      </c>
    </row>
    <row r="135" spans="4:5" x14ac:dyDescent="0.25">
      <c r="D135" s="6" t="s">
        <v>2380</v>
      </c>
      <c r="E135" s="6" t="s">
        <v>41</v>
      </c>
    </row>
    <row r="136" spans="4:5" x14ac:dyDescent="0.25">
      <c r="D136" s="6" t="s">
        <v>1693</v>
      </c>
      <c r="E136" s="6" t="s">
        <v>2381</v>
      </c>
    </row>
    <row r="137" spans="4:5" x14ac:dyDescent="0.25">
      <c r="D137" s="6" t="s">
        <v>2382</v>
      </c>
      <c r="E137" s="6" t="s">
        <v>2383</v>
      </c>
    </row>
    <row r="138" spans="4:5" x14ac:dyDescent="0.25">
      <c r="D138" s="6" t="s">
        <v>2384</v>
      </c>
      <c r="E138" s="6" t="s">
        <v>2385</v>
      </c>
    </row>
    <row r="139" spans="4:5" x14ac:dyDescent="0.25">
      <c r="D139" s="6" t="s">
        <v>2386</v>
      </c>
      <c r="E139" s="6" t="s">
        <v>2387</v>
      </c>
    </row>
    <row r="140" spans="4:5" x14ac:dyDescent="0.25">
      <c r="D140" s="6" t="s">
        <v>2388</v>
      </c>
      <c r="E140" s="6" t="s">
        <v>2389</v>
      </c>
    </row>
    <row r="141" spans="4:5" x14ac:dyDescent="0.25">
      <c r="D141" s="6" t="s">
        <v>102</v>
      </c>
      <c r="E141" s="6" t="s">
        <v>128</v>
      </c>
    </row>
    <row r="142" spans="4:5" x14ac:dyDescent="0.25">
      <c r="D142" s="6" t="s">
        <v>1253</v>
      </c>
      <c r="E142" s="6" t="s">
        <v>677</v>
      </c>
    </row>
    <row r="143" spans="4:5" x14ac:dyDescent="0.25">
      <c r="E143" s="6" t="s">
        <v>2390</v>
      </c>
    </row>
    <row r="144" spans="4:5" x14ac:dyDescent="0.25">
      <c r="E144" s="6" t="s">
        <v>2391</v>
      </c>
    </row>
    <row r="145" spans="5:5" x14ac:dyDescent="0.25">
      <c r="E145" s="6" t="s">
        <v>2392</v>
      </c>
    </row>
    <row r="146" spans="5:5" x14ac:dyDescent="0.25">
      <c r="E146" s="6" t="s">
        <v>2393</v>
      </c>
    </row>
    <row r="147" spans="5:5" x14ac:dyDescent="0.25">
      <c r="E147" s="6" t="s">
        <v>2394</v>
      </c>
    </row>
    <row r="148" spans="5:5" x14ac:dyDescent="0.25">
      <c r="E148" s="6" t="s">
        <v>2395</v>
      </c>
    </row>
    <row r="149" spans="5:5" x14ac:dyDescent="0.25">
      <c r="E149" s="6" t="s">
        <v>2396</v>
      </c>
    </row>
    <row r="150" spans="5:5" x14ac:dyDescent="0.25">
      <c r="E150" s="6" t="s">
        <v>2397</v>
      </c>
    </row>
    <row r="151" spans="5:5" x14ac:dyDescent="0.25">
      <c r="E151" s="6" t="s">
        <v>2398</v>
      </c>
    </row>
    <row r="152" spans="5:5" x14ac:dyDescent="0.25">
      <c r="E152" s="6" t="s">
        <v>2399</v>
      </c>
    </row>
    <row r="153" spans="5:5" x14ac:dyDescent="0.25">
      <c r="E153" s="6" t="s">
        <v>2400</v>
      </c>
    </row>
    <row r="154" spans="5:5" x14ac:dyDescent="0.25">
      <c r="E154" s="6" t="s">
        <v>148</v>
      </c>
    </row>
    <row r="155" spans="5:5" x14ac:dyDescent="0.25">
      <c r="E155" s="6" t="s">
        <v>2401</v>
      </c>
    </row>
    <row r="156" spans="5:5" x14ac:dyDescent="0.25">
      <c r="E156" s="6" t="s">
        <v>2402</v>
      </c>
    </row>
    <row r="157" spans="5:5" x14ac:dyDescent="0.25">
      <c r="E157" s="6" t="s">
        <v>2403</v>
      </c>
    </row>
    <row r="158" spans="5:5" x14ac:dyDescent="0.25">
      <c r="E158" s="6" t="s">
        <v>1161</v>
      </c>
    </row>
    <row r="159" spans="5:5" x14ac:dyDescent="0.25">
      <c r="E159" s="6" t="s">
        <v>291</v>
      </c>
    </row>
    <row r="160" spans="5:5" x14ac:dyDescent="0.25">
      <c r="E160" s="6" t="s">
        <v>2404</v>
      </c>
    </row>
    <row r="161" spans="5:5" x14ac:dyDescent="0.25">
      <c r="E161" s="6" t="s">
        <v>2405</v>
      </c>
    </row>
    <row r="162" spans="5:5" x14ac:dyDescent="0.25">
      <c r="E162" s="6" t="s">
        <v>2406</v>
      </c>
    </row>
    <row r="163" spans="5:5" x14ac:dyDescent="0.25">
      <c r="E163" s="6" t="s">
        <v>2407</v>
      </c>
    </row>
    <row r="164" spans="5:5" x14ac:dyDescent="0.25">
      <c r="E164" s="6" t="s">
        <v>138</v>
      </c>
    </row>
    <row r="165" spans="5:5" x14ac:dyDescent="0.25">
      <c r="E165" s="6" t="s">
        <v>2408</v>
      </c>
    </row>
    <row r="166" spans="5:5" x14ac:dyDescent="0.25">
      <c r="E166" s="6" t="s">
        <v>321</v>
      </c>
    </row>
    <row r="167" spans="5:5" x14ac:dyDescent="0.25">
      <c r="E167" s="6" t="s">
        <v>253</v>
      </c>
    </row>
    <row r="168" spans="5:5" x14ac:dyDescent="0.25">
      <c r="E168" s="6" t="s">
        <v>2409</v>
      </c>
    </row>
    <row r="169" spans="5:5" x14ac:dyDescent="0.25">
      <c r="E169" s="6" t="s">
        <v>2410</v>
      </c>
    </row>
    <row r="170" spans="5:5" x14ac:dyDescent="0.25">
      <c r="E170" s="6" t="s">
        <v>827</v>
      </c>
    </row>
    <row r="171" spans="5:5" x14ac:dyDescent="0.25">
      <c r="E171" s="6" t="s">
        <v>2411</v>
      </c>
    </row>
    <row r="172" spans="5:5" x14ac:dyDescent="0.25">
      <c r="E172" s="6" t="s">
        <v>2412</v>
      </c>
    </row>
    <row r="173" spans="5:5" x14ac:dyDescent="0.25">
      <c r="E173" s="6" t="s">
        <v>2413</v>
      </c>
    </row>
    <row r="174" spans="5:5" x14ac:dyDescent="0.25">
      <c r="E174" s="6" t="s">
        <v>102</v>
      </c>
    </row>
    <row r="175" spans="5:5" x14ac:dyDescent="0.25">
      <c r="E175" s="6" t="s">
        <v>1253</v>
      </c>
    </row>
  </sheetData>
  <sheetProtection algorithmName="SHA-512" hashValue="GdgtSMPmZywYPemqMvLXKHU9edG++xdSf/ga62JVMxyQag+yuljsbRB7b68qLc08MwDB9VVYC69ylDBhE7+Dbw==" saltValue="DYnKqTvT9lyjCWzPckOv3w==" spinCount="100000" sheet="1" objects="1" scenarios="1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32</vt:i4>
      </vt:variant>
    </vt:vector>
  </HeadingPairs>
  <TitlesOfParts>
    <vt:vector size="35" baseType="lpstr">
      <vt:lpstr>경기지역본부명단</vt:lpstr>
      <vt:lpstr>채용비율</vt:lpstr>
      <vt:lpstr>목록</vt:lpstr>
      <vt:lpstr>가평군</vt:lpstr>
      <vt:lpstr>강원도</vt:lpstr>
      <vt:lpstr>경기도</vt:lpstr>
      <vt:lpstr>경상남도</vt:lpstr>
      <vt:lpstr>경상북도</vt:lpstr>
      <vt:lpstr>광산구</vt:lpstr>
      <vt:lpstr>광주광역시</vt:lpstr>
      <vt:lpstr>대구광역시</vt:lpstr>
      <vt:lpstr>대전광역시</vt:lpstr>
      <vt:lpstr>동구</vt:lpstr>
      <vt:lpstr>목포시</vt:lpstr>
      <vt:lpstr>부산광역시</vt:lpstr>
      <vt:lpstr>서귀포시</vt:lpstr>
      <vt:lpstr>서울특별시</vt:lpstr>
      <vt:lpstr>세종시</vt:lpstr>
      <vt:lpstr>시_도</vt:lpstr>
      <vt:lpstr>울산광역시</vt:lpstr>
      <vt:lpstr>인천광역시</vt:lpstr>
      <vt:lpstr>전라남도</vt:lpstr>
      <vt:lpstr>전라북도</vt:lpstr>
      <vt:lpstr>전주시</vt:lpstr>
      <vt:lpstr>제주도</vt:lpstr>
      <vt:lpstr>조치원읍</vt:lpstr>
      <vt:lpstr>종로구</vt:lpstr>
      <vt:lpstr>중구</vt:lpstr>
      <vt:lpstr>창원시</vt:lpstr>
      <vt:lpstr>천안시</vt:lpstr>
      <vt:lpstr>청주시</vt:lpstr>
      <vt:lpstr>춘천시</vt:lpstr>
      <vt:lpstr>충청남도</vt:lpstr>
      <vt:lpstr>충청북도</vt:lpstr>
      <vt:lpstr>포항시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사무차장 본조</dc:creator>
  <cp:lastModifiedBy>juju</cp:lastModifiedBy>
  <dcterms:created xsi:type="dcterms:W3CDTF">2026-02-10T05:24:03Z</dcterms:created>
  <dcterms:modified xsi:type="dcterms:W3CDTF">2026-09-28T07:54:02Z</dcterms:modified>
</cp:coreProperties>
</file>